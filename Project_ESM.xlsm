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tables/table54.xml" ContentType="application/vnd.openxmlformats-officedocument.spreadsheetml.table+xml"/>
  <Override PartName="/xl/queryTables/queryTable54.xml" ContentType="application/vnd.openxmlformats-officedocument.spreadsheetml.queryTable+xml"/>
  <Override PartName="/xl/tables/table55.xml" ContentType="application/vnd.openxmlformats-officedocument.spreadsheetml.table+xml"/>
  <Override PartName="/xl/queryTables/queryTable55.xml" ContentType="application/vnd.openxmlformats-officedocument.spreadsheetml.queryTable+xml"/>
  <Override PartName="/xl/tables/table56.xml" ContentType="application/vnd.openxmlformats-officedocument.spreadsheetml.table+xml"/>
  <Override PartName="/xl/queryTables/queryTable56.xml" ContentType="application/vnd.openxmlformats-officedocument.spreadsheetml.queryTable+xml"/>
  <Override PartName="/xl/tables/table57.xml" ContentType="application/vnd.openxmlformats-officedocument.spreadsheetml.table+xml"/>
  <Override PartName="/xl/queryTables/queryTable57.xml" ContentType="application/vnd.openxmlformats-officedocument.spreadsheetml.queryTable+xml"/>
  <Override PartName="/xl/tables/table58.xml" ContentType="application/vnd.openxmlformats-officedocument.spreadsheetml.table+xml"/>
  <Override PartName="/xl/queryTables/queryTable58.xml" ContentType="application/vnd.openxmlformats-officedocument.spreadsheetml.queryTable+xml"/>
  <Override PartName="/xl/tables/table59.xml" ContentType="application/vnd.openxmlformats-officedocument.spreadsheetml.table+xml"/>
  <Override PartName="/xl/queryTables/queryTable59.xml" ContentType="application/vnd.openxmlformats-officedocument.spreadsheetml.queryTable+xml"/>
  <Override PartName="/xl/tables/table60.xml" ContentType="application/vnd.openxmlformats-officedocument.spreadsheetml.table+xml"/>
  <Override PartName="/xl/queryTables/queryTable6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lisboa-my.sharepoint.com/personal/ist196303_tecnico_ulisboa_pt/Documents/MEGE/Energy Systems Management/"/>
    </mc:Choice>
  </mc:AlternateContent>
  <xr:revisionPtr revIDLastSave="6033" documentId="8_{19AE2D12-EF6F-4C18-AAFC-70907151CC54}" xr6:coauthVersionLast="47" xr6:coauthVersionMax="47" xr10:uidLastSave="{76AD1C79-D92B-4D60-8394-8FA11AEA93CB}"/>
  <bookViews>
    <workbookView xWindow="-110" yWindow="-110" windowWidth="19420" windowHeight="10300" tabRatio="836" firstSheet="12" activeTab="14" xr2:uid="{B95340C6-F7CA-4523-AF24-FFCE9473996A}"/>
  </bookViews>
  <sheets>
    <sheet name="Menu" sheetId="16" r:id="rId1"/>
    <sheet name="Inputs" sheetId="1" r:id="rId2"/>
    <sheet name="Outputs" sheetId="5" r:id="rId3"/>
    <sheet name="Graphs" sheetId="20" r:id="rId4"/>
    <sheet name="Services" sheetId="2" r:id="rId5"/>
    <sheet name="Tariffs" sheetId="10" r:id="rId6"/>
    <sheet name="Final Energy" sheetId="3" r:id="rId7"/>
    <sheet name="Conversion Technologies" sheetId="4" r:id="rId8"/>
    <sheet name="Primary Energy" sheetId="9" r:id="rId9"/>
    <sheet name="Base Management" sheetId="11" r:id="rId10"/>
    <sheet name="Services Management" sheetId="12" r:id="rId11"/>
    <sheet name="Services+PV Management" sheetId="13" r:id="rId12"/>
    <sheet name="Services+PV+Battery Management" sheetId="15" r:id="rId13"/>
    <sheet name="Optimization-Max NPV Community" sheetId="19" r:id="rId14"/>
    <sheet name="Optimization-Min Cost Community" sheetId="22" r:id="rId15"/>
    <sheet name="Optimization-Flexible Load" sheetId="21" r:id="rId16"/>
  </sheets>
  <definedNames>
    <definedName name="ExternalData_1" localSheetId="6" hidden="1">'Final Energy'!#REF!</definedName>
    <definedName name="ExternalData_10" localSheetId="1">Inputs!#REF!</definedName>
    <definedName name="ExternalData_10" localSheetId="11" hidden="1">'Services+PV Management'!$AH$2:$AK$27</definedName>
    <definedName name="ExternalData_10" localSheetId="12" hidden="1">'Services+PV+Battery Management'!$AF$2:$AI$27</definedName>
    <definedName name="ExternalData_11" localSheetId="11" hidden="1">'Services+PV Management'!$AM$2:$AP$27</definedName>
    <definedName name="ExternalData_11" localSheetId="12" hidden="1">'Services+PV+Battery Management'!$AN$2:$AQ$27</definedName>
    <definedName name="ExternalData_12" localSheetId="13" hidden="1">'Optimization-Max NPV Community'!$M$2:$P$27</definedName>
    <definedName name="ExternalData_12" localSheetId="14" hidden="1">'Optimization-Min Cost Community'!$M$2:$P$27</definedName>
    <definedName name="ExternalData_12" localSheetId="11" hidden="1">'Services+PV Management'!$P$31:$S$56</definedName>
    <definedName name="ExternalData_12" localSheetId="12" hidden="1">'Services+PV+Battery Management'!$AS$2:$AV$27</definedName>
    <definedName name="ExternalData_13" localSheetId="13" hidden="1">'Optimization-Max NPV Community'!$AK$2:$AN$27</definedName>
    <definedName name="ExternalData_13" localSheetId="14" hidden="1">'Optimization-Min Cost Community'!$AK$2:$AN$27</definedName>
    <definedName name="ExternalData_13" localSheetId="12" hidden="1">'Services+PV+Battery Management'!$AK$2:$AL$27</definedName>
    <definedName name="ExternalData_14" localSheetId="13" hidden="1">'Optimization-Max NPV Community'!$Y$2:$AB$27</definedName>
    <definedName name="ExternalData_14" localSheetId="14" hidden="1">'Optimization-Min Cost Community'!$Y$2:$AB$27</definedName>
    <definedName name="ExternalData_14" localSheetId="12" hidden="1">'Services+PV+Battery Management'!#REF!</definedName>
    <definedName name="ExternalData_15" localSheetId="13" hidden="1">'Optimization-Max NPV Community'!$S$2:$V$27</definedName>
    <definedName name="ExternalData_15" localSheetId="14" hidden="1">'Optimization-Min Cost Community'!$S$2:$V$27</definedName>
    <definedName name="ExternalData_15" localSheetId="12" hidden="1">'Services+PV+Battery Management'!$O$31:$R$57</definedName>
    <definedName name="ExternalData_16" localSheetId="12" hidden="1">'Services+PV+Battery Management'!$U$31:$X$56</definedName>
    <definedName name="ExternalData_17" localSheetId="12" hidden="1">'Services+PV+Battery Management'!$Z$31:$AC$56</definedName>
    <definedName name="ExternalData_2" localSheetId="9" hidden="1">'Base Management'!$A$2:$D$27</definedName>
    <definedName name="ExternalData_2" localSheetId="7" hidden="1">'Conversion Technologies'!$K$2:$K$26</definedName>
    <definedName name="ExternalData_2" localSheetId="6" hidden="1">'Final Energy'!$A$2:$D$27</definedName>
    <definedName name="ExternalData_2" localSheetId="1" hidden="1">Inputs!#REF!</definedName>
    <definedName name="ExternalData_2" localSheetId="8" hidden="1">'Primary Energy'!$A$2:$D$27</definedName>
    <definedName name="ExternalData_2" localSheetId="10" hidden="1">'Services Management'!$A$2:$D$27</definedName>
    <definedName name="ExternalData_3" localSheetId="9" hidden="1">'Base Management'!$G$2:$J$27</definedName>
    <definedName name="ExternalData_3" localSheetId="6" hidden="1">'Final Energy'!$G$2:$J$27</definedName>
    <definedName name="ExternalData_3" localSheetId="13" hidden="1">'Optimization-Max NPV Community'!$A$2:$D$27</definedName>
    <definedName name="ExternalData_3" localSheetId="14" hidden="1">'Optimization-Min Cost Community'!$A$2:$D$27</definedName>
    <definedName name="ExternalData_3" localSheetId="8" hidden="1">'Primary Energy'!$G$2:$J$27</definedName>
    <definedName name="ExternalData_3" localSheetId="10" hidden="1">'Services Management'!$G$2:$J$27</definedName>
    <definedName name="ExternalData_4" localSheetId="9" hidden="1">'Base Management'!$M$2:$P$27</definedName>
    <definedName name="ExternalData_4" localSheetId="6" hidden="1">'Final Energy'!#REF!</definedName>
    <definedName name="ExternalData_4" localSheetId="8" hidden="1">'Primary Energy'!$M$2:$P$27</definedName>
    <definedName name="ExternalData_4" localSheetId="4" hidden="1">Services!$H$2:$K$26</definedName>
    <definedName name="ExternalData_4" localSheetId="10" hidden="1">'Services Management'!$N$2:$Q$27</definedName>
    <definedName name="ExternalData_4" localSheetId="11" hidden="1">'Services+PV Management'!$A$2:$D$27</definedName>
    <definedName name="ExternalData_4" localSheetId="12" hidden="1">'Services+PV+Battery Management'!$A$2:$D$27</definedName>
    <definedName name="ExternalData_5" localSheetId="6" hidden="1">'Final Energy'!$M$2:$P$27</definedName>
    <definedName name="ExternalData_5" localSheetId="1" hidden="1">Inputs!$D$31:$E$44</definedName>
    <definedName name="ExternalData_5" localSheetId="13" hidden="1">'Optimization-Max NPV Community'!$G$2:$J$27</definedName>
    <definedName name="ExternalData_5" localSheetId="14" hidden="1">'Optimization-Min Cost Community'!$G$2:$J$27</definedName>
    <definedName name="ExternalData_5" localSheetId="4" hidden="1">Services!#REF!</definedName>
    <definedName name="ExternalData_5" localSheetId="10" hidden="1">'Services Management'!$T$2:$W$27</definedName>
    <definedName name="ExternalData_5" localSheetId="11" hidden="1">'Services+PV Management'!$G$2:$J$27</definedName>
    <definedName name="ExternalData_5" localSheetId="12" hidden="1">'Services+PV+Battery Management'!$G$2:$J$27</definedName>
    <definedName name="ExternalData_6" localSheetId="1" hidden="1">Inputs!$G$31:$H$57</definedName>
    <definedName name="ExternalData_6" localSheetId="4" hidden="1">Services!$A$2:$F$26</definedName>
    <definedName name="ExternalData_6" localSheetId="10" hidden="1">'Services Management'!$Z$2:$AC$27</definedName>
    <definedName name="ExternalData_6" localSheetId="11" hidden="1">'Services+PV Management'!$M$2:$P$27</definedName>
    <definedName name="ExternalData_6" localSheetId="12" hidden="1">'Services+PV+Battery Management'!$M$2:$O$27</definedName>
    <definedName name="ExternalData_7" localSheetId="1" hidden="1">Inputs!$A$2:$D$26</definedName>
    <definedName name="ExternalData_7" localSheetId="4" hidden="1">Services!#REF!</definedName>
    <definedName name="ExternalData_7" localSheetId="11" hidden="1">'Services+PV Management'!$R$2:$U$27</definedName>
    <definedName name="ExternalData_7" localSheetId="12" hidden="1">'Services+PV+Battery Management'!$Q$2:$R$27</definedName>
    <definedName name="ExternalData_7" localSheetId="5" hidden="1">Tariffs!$A$2:$G$26</definedName>
    <definedName name="ExternalData_8" localSheetId="1" hidden="1">Inputs!$F$2:$K$26</definedName>
    <definedName name="ExternalData_8" localSheetId="13" hidden="1">'Optimization-Max NPV Community'!$AE$2:$AH$27</definedName>
    <definedName name="ExternalData_8" localSheetId="14" hidden="1">'Optimization-Min Cost Community'!$AE$2:$AH$27</definedName>
    <definedName name="ExternalData_8" localSheetId="4" hidden="1">Services!$M$2:$R$26</definedName>
    <definedName name="ExternalData_8" localSheetId="11" hidden="1">'Services+PV Management'!$W$2:$Z$27</definedName>
    <definedName name="ExternalData_8" localSheetId="12" hidden="1">'Services+PV+Battery Management'!$V$2:$Y$27</definedName>
    <definedName name="ExternalData_9" localSheetId="1" hidden="1">Inputs!$M$2:$P$26</definedName>
    <definedName name="ExternalData_9" localSheetId="11" hidden="1">'Services+PV Management'!$AB$2:$AE$27</definedName>
    <definedName name="ExternalData_9" localSheetId="12" hidden="1">'Services+PV+Battery Management'!$AA$2:$AD$27</definedName>
    <definedName name="solver_adj" localSheetId="15" hidden="1">'Optimization-Flexible Load'!$E$5:$F$28</definedName>
    <definedName name="solver_adj" localSheetId="13" hidden="1">'Optimization-Max NPV Community'!$D$34:$D$36</definedName>
    <definedName name="solver_adj" localSheetId="14" hidden="1">'Optimization-Min Cost Community'!$D$34:$D$36</definedName>
    <definedName name="solver_cvg" localSheetId="15" hidden="1">0.0001</definedName>
    <definedName name="solver_cvg" localSheetId="13" hidden="1">0.0001</definedName>
    <definedName name="solver_cvg" localSheetId="14" hidden="1">0.0001</definedName>
    <definedName name="solver_cvg" localSheetId="2" hidden="1">0.0001</definedName>
    <definedName name="solver_drv" localSheetId="15" hidden="1">1</definedName>
    <definedName name="solver_drv" localSheetId="13" hidden="1">2</definedName>
    <definedName name="solver_drv" localSheetId="14" hidden="1">1</definedName>
    <definedName name="solver_drv" localSheetId="2" hidden="1">2</definedName>
    <definedName name="solver_eng" localSheetId="15" hidden="1">1</definedName>
    <definedName name="solver_eng" localSheetId="13" hidden="1">1</definedName>
    <definedName name="solver_eng" localSheetId="14" hidden="1">1</definedName>
    <definedName name="solver_eng" localSheetId="2" hidden="1">1</definedName>
    <definedName name="solver_eng" localSheetId="10" hidden="1">1</definedName>
    <definedName name="solver_est" localSheetId="15" hidden="1">1</definedName>
    <definedName name="solver_est" localSheetId="13" hidden="1">1</definedName>
    <definedName name="solver_est" localSheetId="14" hidden="1">1</definedName>
    <definedName name="solver_est" localSheetId="2" hidden="1">1</definedName>
    <definedName name="solver_itr" localSheetId="15" hidden="1">2147483647</definedName>
    <definedName name="solver_itr" localSheetId="13" hidden="1">2147483647</definedName>
    <definedName name="solver_itr" localSheetId="14" hidden="1">2147483647</definedName>
    <definedName name="solver_itr" localSheetId="2" hidden="1">2147483647</definedName>
    <definedName name="solver_lhs1" localSheetId="15" hidden="1">'Optimization-Flexible Load'!$E$29</definedName>
    <definedName name="solver_lhs1" localSheetId="13" hidden="1">'Optimization-Max NPV Community'!$D$34:$D$36</definedName>
    <definedName name="solver_lhs1" localSheetId="14" hidden="1">'Optimization-Min Cost Community'!$D$34:$D$36</definedName>
    <definedName name="solver_lhs1" localSheetId="2" hidden="1">Outputs!#REF!</definedName>
    <definedName name="solver_lhs2" localSheetId="15" hidden="1">'Optimization-Flexible Load'!$F$29</definedName>
    <definedName name="solver_lhs2" localSheetId="13" hidden="1">'Optimization-Max NPV Community'!$F$34</definedName>
    <definedName name="solver_lhs2" localSheetId="14" hidden="1">'Optimization-Min Cost Community'!$F$34</definedName>
    <definedName name="solver_lhs2" localSheetId="2" hidden="1">Outputs!#REF!</definedName>
    <definedName name="solver_lhs3" localSheetId="15" hidden="1">'Optimization-Flexible Load'!$F$5:$F$28</definedName>
    <definedName name="solver_lhs3" localSheetId="13" hidden="1">'Optimization-Max NPV Community'!$F$34</definedName>
    <definedName name="solver_lhs4" localSheetId="15" hidden="1">'Optimization-Flexible Load'!$G$5:$G$28</definedName>
    <definedName name="solver_lhs4" localSheetId="13" hidden="1">'Optimization-Max NPV Community'!$F$36</definedName>
    <definedName name="solver_lhs5" localSheetId="15" hidden="1">'Optimization-Flexible Load'!$G$5:$G$28</definedName>
    <definedName name="solver_mip" localSheetId="15" hidden="1">2147483647</definedName>
    <definedName name="solver_mip" localSheetId="13" hidden="1">2147483647</definedName>
    <definedName name="solver_mip" localSheetId="14" hidden="1">2147483647</definedName>
    <definedName name="solver_mip" localSheetId="2" hidden="1">2147483647</definedName>
    <definedName name="solver_mni" localSheetId="15" hidden="1">30</definedName>
    <definedName name="solver_mni" localSheetId="13" hidden="1">30</definedName>
    <definedName name="solver_mni" localSheetId="14" hidden="1">30</definedName>
    <definedName name="solver_mni" localSheetId="2" hidden="1">30</definedName>
    <definedName name="solver_mrt" localSheetId="15" hidden="1">0.075</definedName>
    <definedName name="solver_mrt" localSheetId="13" hidden="1">0.075</definedName>
    <definedName name="solver_mrt" localSheetId="14" hidden="1">0.075</definedName>
    <definedName name="solver_mrt" localSheetId="2" hidden="1">0.075</definedName>
    <definedName name="solver_msl" localSheetId="15" hidden="1">2</definedName>
    <definedName name="solver_msl" localSheetId="13" hidden="1">2</definedName>
    <definedName name="solver_msl" localSheetId="14" hidden="1">2</definedName>
    <definedName name="solver_msl" localSheetId="2" hidden="1">2</definedName>
    <definedName name="solver_neg" localSheetId="15" hidden="1">1</definedName>
    <definedName name="solver_neg" localSheetId="13" hidden="1">1</definedName>
    <definedName name="solver_neg" localSheetId="14" hidden="1">1</definedName>
    <definedName name="solver_neg" localSheetId="2" hidden="1">1</definedName>
    <definedName name="solver_neg" localSheetId="10" hidden="1">1</definedName>
    <definedName name="solver_nod" localSheetId="15" hidden="1">2147483647</definedName>
    <definedName name="solver_nod" localSheetId="13" hidden="1">2147483647</definedName>
    <definedName name="solver_nod" localSheetId="14" hidden="1">2147483647</definedName>
    <definedName name="solver_nod" localSheetId="2" hidden="1">2147483647</definedName>
    <definedName name="solver_num" localSheetId="15" hidden="1">4</definedName>
    <definedName name="solver_num" localSheetId="13" hidden="1">2</definedName>
    <definedName name="solver_num" localSheetId="14" hidden="1">2</definedName>
    <definedName name="solver_num" localSheetId="2" hidden="1">2</definedName>
    <definedName name="solver_num" localSheetId="10" hidden="1">0</definedName>
    <definedName name="solver_nwt" localSheetId="15" hidden="1">1</definedName>
    <definedName name="solver_nwt" localSheetId="13" hidden="1">1</definedName>
    <definedName name="solver_nwt" localSheetId="14" hidden="1">1</definedName>
    <definedName name="solver_nwt" localSheetId="2" hidden="1">1</definedName>
    <definedName name="solver_opt" localSheetId="15" hidden="1">'Optimization-Flexible Load'!$I$29</definedName>
    <definedName name="solver_opt" localSheetId="13" hidden="1">'Optimization-Max NPV Community'!$Q$35</definedName>
    <definedName name="solver_opt" localSheetId="14" hidden="1">'Optimization-Min Cost Community'!$Q$43</definedName>
    <definedName name="solver_opt" localSheetId="2" hidden="1">Outputs!$T$10</definedName>
    <definedName name="solver_opt" localSheetId="10" hidden="1">'Services Management'!$D$32</definedName>
    <definedName name="solver_pre" localSheetId="15" hidden="1">0.000001</definedName>
    <definedName name="solver_pre" localSheetId="13" hidden="1">0.000001</definedName>
    <definedName name="solver_pre" localSheetId="14" hidden="1">0.000001</definedName>
    <definedName name="solver_pre" localSheetId="2" hidden="1">0.000001</definedName>
    <definedName name="solver_rbv" localSheetId="15" hidden="1">1</definedName>
    <definedName name="solver_rbv" localSheetId="13" hidden="1">2</definedName>
    <definedName name="solver_rbv" localSheetId="14" hidden="1">1</definedName>
    <definedName name="solver_rbv" localSheetId="2" hidden="1">2</definedName>
    <definedName name="solver_rel1" localSheetId="15" hidden="1">2</definedName>
    <definedName name="solver_rel1" localSheetId="13" hidden="1">4</definedName>
    <definedName name="solver_rel1" localSheetId="14" hidden="1">4</definedName>
    <definedName name="solver_rel1" localSheetId="2" hidden="1">4</definedName>
    <definedName name="solver_rel2" localSheetId="15" hidden="1">2</definedName>
    <definedName name="solver_rel2" localSheetId="13" hidden="1">1</definedName>
    <definedName name="solver_rel2" localSheetId="14" hidden="1">1</definedName>
    <definedName name="solver_rel2" localSheetId="2" hidden="1">1</definedName>
    <definedName name="solver_rel3" localSheetId="15" hidden="1">3</definedName>
    <definedName name="solver_rel3" localSheetId="13" hidden="1">1</definedName>
    <definedName name="solver_rel4" localSheetId="15" hidden="1">3</definedName>
    <definedName name="solver_rel4" localSheetId="13" hidden="1">1</definedName>
    <definedName name="solver_rel5" localSheetId="15" hidden="1">3</definedName>
    <definedName name="solver_rhs1" localSheetId="15" hidden="1">'Optimization-Flexible Load'!$K$31</definedName>
    <definedName name="solver_rhs1" localSheetId="13" hidden="1">"integer"</definedName>
    <definedName name="solver_rhs1" localSheetId="14" hidden="1">"integer"</definedName>
    <definedName name="solver_rhs1" localSheetId="2" hidden="1">"integer"</definedName>
    <definedName name="solver_rhs2" localSheetId="15" hidden="1">'Optimization-Flexible Load'!$K$32</definedName>
    <definedName name="solver_rhs2" localSheetId="13" hidden="1">'Optimization-Max NPV Community'!$H$34</definedName>
    <definedName name="solver_rhs2" localSheetId="14" hidden="1">'Optimization-Min Cost Community'!$H$34</definedName>
    <definedName name="solver_rhs2" localSheetId="2" hidden="1">100</definedName>
    <definedName name="solver_rhs3" localSheetId="15" hidden="1">0</definedName>
    <definedName name="solver_rhs3" localSheetId="13" hidden="1">'Optimization-Max NPV Community'!$H$34</definedName>
    <definedName name="solver_rhs4" localSheetId="15" hidden="1">0</definedName>
    <definedName name="solver_rhs4" localSheetId="13" hidden="1">'Optimization-Max NPV Community'!$H$36</definedName>
    <definedName name="solver_rhs5" localSheetId="15" hidden="1">0</definedName>
    <definedName name="solver_rlx" localSheetId="15" hidden="1">2</definedName>
    <definedName name="solver_rlx" localSheetId="13" hidden="1">2</definedName>
    <definedName name="solver_rlx" localSheetId="14" hidden="1">2</definedName>
    <definedName name="solver_rlx" localSheetId="2" hidden="1">2</definedName>
    <definedName name="solver_rsd" localSheetId="15" hidden="1">0</definedName>
    <definedName name="solver_rsd" localSheetId="13" hidden="1">0</definedName>
    <definedName name="solver_rsd" localSheetId="14" hidden="1">0</definedName>
    <definedName name="solver_rsd" localSheetId="2" hidden="1">0</definedName>
    <definedName name="solver_scl" localSheetId="15" hidden="1">1</definedName>
    <definedName name="solver_scl" localSheetId="13" hidden="1">2</definedName>
    <definedName name="solver_scl" localSheetId="14" hidden="1">1</definedName>
    <definedName name="solver_scl" localSheetId="2" hidden="1">2</definedName>
    <definedName name="solver_sho" localSheetId="15" hidden="1">2</definedName>
    <definedName name="solver_sho" localSheetId="13" hidden="1">2</definedName>
    <definedName name="solver_sho" localSheetId="14" hidden="1">2</definedName>
    <definedName name="solver_sho" localSheetId="2" hidden="1">2</definedName>
    <definedName name="solver_ssz" localSheetId="15" hidden="1">100</definedName>
    <definedName name="solver_ssz" localSheetId="13" hidden="1">100</definedName>
    <definedName name="solver_ssz" localSheetId="14" hidden="1">100</definedName>
    <definedName name="solver_ssz" localSheetId="2" hidden="1">100</definedName>
    <definedName name="solver_tim" localSheetId="15" hidden="1">2147483647</definedName>
    <definedName name="solver_tim" localSheetId="13" hidden="1">2147483647</definedName>
    <definedName name="solver_tim" localSheetId="14" hidden="1">2147483647</definedName>
    <definedName name="solver_tim" localSheetId="2" hidden="1">2147483647</definedName>
    <definedName name="solver_tol" localSheetId="15" hidden="1">0.01</definedName>
    <definedName name="solver_tol" localSheetId="13" hidden="1">0.01</definedName>
    <definedName name="solver_tol" localSheetId="14" hidden="1">0.01</definedName>
    <definedName name="solver_tol" localSheetId="2" hidden="1">0.01</definedName>
    <definedName name="solver_typ" localSheetId="15" hidden="1">2</definedName>
    <definedName name="solver_typ" localSheetId="13" hidden="1">1</definedName>
    <definedName name="solver_typ" localSheetId="14" hidden="1">2</definedName>
    <definedName name="solver_typ" localSheetId="2" hidden="1">1</definedName>
    <definedName name="solver_typ" localSheetId="10" hidden="1">1</definedName>
    <definedName name="solver_val" localSheetId="15" hidden="1">0</definedName>
    <definedName name="solver_val" localSheetId="13" hidden="1">0</definedName>
    <definedName name="solver_val" localSheetId="14" hidden="1">0</definedName>
    <definedName name="solver_val" localSheetId="2" hidden="1">0</definedName>
    <definedName name="solver_val" localSheetId="10" hidden="1">0</definedName>
    <definedName name="solver_ver" localSheetId="15" hidden="1">3</definedName>
    <definedName name="solver_ver" localSheetId="13" hidden="1">3</definedName>
    <definedName name="solver_ver" localSheetId="14" hidden="1">3</definedName>
    <definedName name="solver_ver" localSheetId="2" hidden="1">3</definedName>
    <definedName name="solver_ver" localSheetId="1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2" l="1"/>
  <c r="H34" i="19"/>
  <c r="U12" i="2" l="1"/>
  <c r="L4" i="4"/>
  <c r="J3" i="12" l="1"/>
  <c r="F36" i="22"/>
  <c r="F35" i="22"/>
  <c r="F34" i="22"/>
  <c r="N34" i="22"/>
  <c r="N33" i="22"/>
  <c r="P31" i="22"/>
  <c r="O31" i="22"/>
  <c r="N31" i="22"/>
  <c r="C36" i="22"/>
  <c r="C35" i="22"/>
  <c r="C34" i="22"/>
  <c r="L3" i="4"/>
  <c r="I3" i="22" s="1"/>
  <c r="H3" i="19" l="1"/>
  <c r="J3" i="22"/>
  <c r="I3" i="19"/>
  <c r="J3" i="19"/>
  <c r="H3" i="22"/>
  <c r="Q31" i="22"/>
  <c r="K3" i="22" l="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5" i="21"/>
  <c r="F29" i="21"/>
  <c r="F35" i="19"/>
  <c r="F36" i="19"/>
  <c r="F34" i="19"/>
  <c r="C35" i="19"/>
  <c r="C36" i="19"/>
  <c r="C34" i="19"/>
  <c r="N34" i="19"/>
  <c r="N33" i="19"/>
  <c r="P31" i="19"/>
  <c r="O31" i="19"/>
  <c r="N31" i="19"/>
  <c r="Q8" i="5"/>
  <c r="Q13" i="5" s="1"/>
  <c r="R8" i="5"/>
  <c r="S8" i="5"/>
  <c r="E29" i="21" l="1"/>
  <c r="Q31" i="19"/>
  <c r="K3" i="19" l="1"/>
  <c r="S13" i="5" l="1"/>
  <c r="R13" i="5"/>
  <c r="T8" i="5" l="1"/>
  <c r="T13" i="5" s="1"/>
  <c r="I38" i="15"/>
  <c r="I37" i="15"/>
  <c r="I36" i="15"/>
  <c r="P32" i="15" s="1"/>
  <c r="I21" i="4" l="1"/>
  <c r="H3" i="13" l="1"/>
  <c r="I3" i="13" l="1"/>
  <c r="H4" i="15" l="1"/>
  <c r="H3" i="15"/>
  <c r="J3" i="13"/>
  <c r="H4" i="13"/>
  <c r="L5" i="4"/>
  <c r="H5" i="13" s="1"/>
  <c r="J5" i="13" s="1"/>
  <c r="L6" i="4"/>
  <c r="H6" i="13" s="1"/>
  <c r="J6" i="13" s="1"/>
  <c r="L7" i="4"/>
  <c r="H7" i="13" s="1"/>
  <c r="L8" i="4"/>
  <c r="H8" i="13" s="1"/>
  <c r="I8" i="13" s="1"/>
  <c r="L9" i="4"/>
  <c r="H9" i="13" s="1"/>
  <c r="J9" i="13" s="1"/>
  <c r="L10" i="4"/>
  <c r="H10" i="13" s="1"/>
  <c r="J10" i="13" s="1"/>
  <c r="L11" i="4"/>
  <c r="L12" i="4"/>
  <c r="H12" i="15" s="1"/>
  <c r="L13" i="4"/>
  <c r="H13" i="13" s="1"/>
  <c r="J13" i="13" s="1"/>
  <c r="L14" i="4"/>
  <c r="H14" i="13" s="1"/>
  <c r="J14" i="13" s="1"/>
  <c r="L15" i="4"/>
  <c r="H15" i="15" s="1"/>
  <c r="L16" i="4"/>
  <c r="H16" i="13" s="1"/>
  <c r="I16" i="13" s="1"/>
  <c r="L17" i="4"/>
  <c r="H17" i="15" s="1"/>
  <c r="L18" i="4"/>
  <c r="H18" i="13" s="1"/>
  <c r="J18" i="13" s="1"/>
  <c r="L19" i="4"/>
  <c r="H19" i="15" s="1"/>
  <c r="L20" i="4"/>
  <c r="H20" i="15" s="1"/>
  <c r="L21" i="4"/>
  <c r="H21" i="13" s="1"/>
  <c r="J21" i="13" s="1"/>
  <c r="L22" i="4"/>
  <c r="H22" i="13" s="1"/>
  <c r="J22" i="13" s="1"/>
  <c r="L23" i="4"/>
  <c r="H23" i="15" s="1"/>
  <c r="L24" i="4"/>
  <c r="H24" i="13" s="1"/>
  <c r="I24" i="13" s="1"/>
  <c r="L25" i="4"/>
  <c r="H25" i="13" s="1"/>
  <c r="J25" i="13" s="1"/>
  <c r="L26" i="4"/>
  <c r="H26" i="15" s="1"/>
  <c r="H17" i="13" l="1"/>
  <c r="J17" i="13" s="1"/>
  <c r="H9" i="15"/>
  <c r="J9" i="15" s="1"/>
  <c r="H20" i="13"/>
  <c r="J20" i="13" s="1"/>
  <c r="H12" i="13"/>
  <c r="J12" i="13" s="1"/>
  <c r="H26" i="13"/>
  <c r="J26" i="13" s="1"/>
  <c r="J18" i="19"/>
  <c r="I18" i="19"/>
  <c r="H18" i="19"/>
  <c r="J18" i="22"/>
  <c r="I18" i="22"/>
  <c r="H18" i="22"/>
  <c r="I25" i="22"/>
  <c r="J25" i="22"/>
  <c r="H25" i="22"/>
  <c r="J25" i="19"/>
  <c r="I25" i="19"/>
  <c r="H25" i="19"/>
  <c r="J17" i="22"/>
  <c r="H17" i="22"/>
  <c r="J17" i="19"/>
  <c r="I17" i="19"/>
  <c r="H17" i="19"/>
  <c r="I17" i="22"/>
  <c r="H9" i="22"/>
  <c r="J9" i="19"/>
  <c r="I9" i="19"/>
  <c r="H9" i="19"/>
  <c r="J9" i="22"/>
  <c r="I9" i="22"/>
  <c r="H5" i="15"/>
  <c r="I5" i="15" s="1"/>
  <c r="H13" i="15"/>
  <c r="H21" i="15"/>
  <c r="J21" i="15" s="1"/>
  <c r="I11" i="22"/>
  <c r="H11" i="22"/>
  <c r="J11" i="19"/>
  <c r="I11" i="19"/>
  <c r="H11" i="19"/>
  <c r="J11" i="22"/>
  <c r="J10" i="19"/>
  <c r="I10" i="19"/>
  <c r="H10" i="19"/>
  <c r="J10" i="22"/>
  <c r="I10" i="22"/>
  <c r="H10" i="22"/>
  <c r="J24" i="22"/>
  <c r="I24" i="22"/>
  <c r="H24" i="22"/>
  <c r="I24" i="19"/>
  <c r="H24" i="19"/>
  <c r="J24" i="19"/>
  <c r="J16" i="22"/>
  <c r="I16" i="22"/>
  <c r="J16" i="19"/>
  <c r="H16" i="22"/>
  <c r="I16" i="19"/>
  <c r="H16" i="19"/>
  <c r="J8" i="22"/>
  <c r="J8" i="19"/>
  <c r="I8" i="22"/>
  <c r="H8" i="22"/>
  <c r="I8" i="19"/>
  <c r="H8" i="19"/>
  <c r="H23" i="13"/>
  <c r="I23" i="13" s="1"/>
  <c r="H15" i="13"/>
  <c r="I15" i="13" s="1"/>
  <c r="H6" i="15"/>
  <c r="J6" i="15" s="1"/>
  <c r="H14" i="15"/>
  <c r="J14" i="15" s="1"/>
  <c r="H22" i="15"/>
  <c r="I22" i="15" s="1"/>
  <c r="H11" i="15"/>
  <c r="H7" i="22"/>
  <c r="H7" i="19"/>
  <c r="J7" i="22"/>
  <c r="J7" i="19"/>
  <c r="I7" i="22"/>
  <c r="I7" i="19"/>
  <c r="H7" i="15"/>
  <c r="J7" i="15" s="1"/>
  <c r="J23" i="19"/>
  <c r="J23" i="22"/>
  <c r="I23" i="19"/>
  <c r="I23" i="22"/>
  <c r="H23" i="19"/>
  <c r="H23" i="22"/>
  <c r="I15" i="19"/>
  <c r="J15" i="22"/>
  <c r="H15" i="19"/>
  <c r="I15" i="22"/>
  <c r="H15" i="22"/>
  <c r="J15" i="19"/>
  <c r="H22" i="22"/>
  <c r="J22" i="19"/>
  <c r="I22" i="19"/>
  <c r="H22" i="19"/>
  <c r="J22" i="22"/>
  <c r="I22" i="22"/>
  <c r="H14" i="22"/>
  <c r="J14" i="22"/>
  <c r="J14" i="19"/>
  <c r="I14" i="19"/>
  <c r="H14" i="19"/>
  <c r="I14" i="22"/>
  <c r="H6" i="22"/>
  <c r="J6" i="19"/>
  <c r="I6" i="19"/>
  <c r="H6" i="19"/>
  <c r="J6" i="22"/>
  <c r="I6" i="22"/>
  <c r="H8" i="15"/>
  <c r="I8" i="15" s="1"/>
  <c r="H16" i="15"/>
  <c r="J16" i="15" s="1"/>
  <c r="H24" i="15"/>
  <c r="J24" i="15" s="1"/>
  <c r="I19" i="22"/>
  <c r="H19" i="22"/>
  <c r="J19" i="19"/>
  <c r="I19" i="19"/>
  <c r="H19" i="19"/>
  <c r="J19" i="22"/>
  <c r="J21" i="22"/>
  <c r="I21" i="22"/>
  <c r="H21" i="22"/>
  <c r="J21" i="19"/>
  <c r="I21" i="19"/>
  <c r="H21" i="19"/>
  <c r="J5" i="22"/>
  <c r="I5" i="22"/>
  <c r="H5" i="22"/>
  <c r="J5" i="19"/>
  <c r="I5" i="19"/>
  <c r="H5" i="19"/>
  <c r="H25" i="15"/>
  <c r="J25" i="15" s="1"/>
  <c r="J13" i="22"/>
  <c r="I13" i="22"/>
  <c r="H13" i="22"/>
  <c r="J13" i="19"/>
  <c r="I13" i="19"/>
  <c r="H13" i="19"/>
  <c r="J20" i="19"/>
  <c r="I20" i="19"/>
  <c r="H20" i="19"/>
  <c r="I20" i="22"/>
  <c r="H20" i="22"/>
  <c r="J20" i="22"/>
  <c r="H12" i="22"/>
  <c r="J12" i="19"/>
  <c r="I12" i="19"/>
  <c r="H12" i="19"/>
  <c r="J12" i="22"/>
  <c r="I12" i="22"/>
  <c r="J4" i="19"/>
  <c r="I4" i="19"/>
  <c r="H4" i="19"/>
  <c r="J4" i="22"/>
  <c r="I4" i="22"/>
  <c r="H4" i="22"/>
  <c r="H19" i="13"/>
  <c r="J19" i="13" s="1"/>
  <c r="H11" i="13"/>
  <c r="J11" i="13" s="1"/>
  <c r="H10" i="15"/>
  <c r="J10" i="15" s="1"/>
  <c r="H18" i="15"/>
  <c r="I18" i="15" s="1"/>
  <c r="J26" i="19"/>
  <c r="I26" i="19"/>
  <c r="H26" i="19"/>
  <c r="J26" i="22"/>
  <c r="I26" i="22"/>
  <c r="H26" i="22"/>
  <c r="J8" i="15"/>
  <c r="I7" i="13"/>
  <c r="I21" i="13"/>
  <c r="K21" i="13" s="1"/>
  <c r="I14" i="13"/>
  <c r="I6" i="13"/>
  <c r="I26" i="13"/>
  <c r="I13" i="13"/>
  <c r="K13" i="13" s="1"/>
  <c r="I22" i="13"/>
  <c r="I10" i="13"/>
  <c r="I18" i="13"/>
  <c r="I5" i="13"/>
  <c r="J7" i="13"/>
  <c r="J24" i="13"/>
  <c r="I20" i="13"/>
  <c r="I12" i="13"/>
  <c r="I4" i="13"/>
  <c r="J16" i="13"/>
  <c r="K16" i="13" s="1"/>
  <c r="J8" i="13"/>
  <c r="I25" i="13"/>
  <c r="K25" i="13" s="1"/>
  <c r="I17" i="13"/>
  <c r="I9" i="13"/>
  <c r="J4" i="13"/>
  <c r="I4" i="15"/>
  <c r="J4" i="15"/>
  <c r="I20" i="15"/>
  <c r="I26" i="15"/>
  <c r="I12" i="15"/>
  <c r="J20" i="15"/>
  <c r="J12" i="15"/>
  <c r="J26" i="15"/>
  <c r="J3" i="15"/>
  <c r="J11" i="15"/>
  <c r="J17" i="15"/>
  <c r="J23" i="15"/>
  <c r="J19" i="15"/>
  <c r="I3" i="15"/>
  <c r="I7" i="15"/>
  <c r="I9" i="15"/>
  <c r="I11" i="15"/>
  <c r="I15" i="15"/>
  <c r="I17" i="15"/>
  <c r="I19" i="15"/>
  <c r="I23" i="15"/>
  <c r="J15" i="15"/>
  <c r="B3" i="3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3" i="2"/>
  <c r="B4" i="2"/>
  <c r="B5" i="2"/>
  <c r="B6" i="2"/>
  <c r="B7" i="2"/>
  <c r="B8" i="2"/>
  <c r="B9" i="2"/>
  <c r="B10" i="2"/>
  <c r="B11" i="2"/>
  <c r="B12" i="2"/>
  <c r="V12" i="2" s="1"/>
  <c r="H12" i="12" s="1"/>
  <c r="C14" i="21" s="1"/>
  <c r="B13" i="2"/>
  <c r="U13" i="2" s="1"/>
  <c r="V13" i="2" s="1"/>
  <c r="H13" i="12" s="1"/>
  <c r="C15" i="21" s="1"/>
  <c r="B14" i="2"/>
  <c r="U14" i="2" s="1"/>
  <c r="V14" i="2" s="1"/>
  <c r="H14" i="12" s="1"/>
  <c r="C16" i="21" s="1"/>
  <c r="B15" i="2"/>
  <c r="U15" i="2" s="1"/>
  <c r="V15" i="2" s="1"/>
  <c r="H15" i="12" s="1"/>
  <c r="C17" i="21" s="1"/>
  <c r="B16" i="2"/>
  <c r="U16" i="2" s="1"/>
  <c r="V16" i="2" s="1"/>
  <c r="H16" i="12" s="1"/>
  <c r="C18" i="21" s="1"/>
  <c r="B17" i="2"/>
  <c r="U17" i="2" s="1"/>
  <c r="V17" i="2" s="1"/>
  <c r="H17" i="12" s="1"/>
  <c r="C19" i="21" s="1"/>
  <c r="B18" i="2"/>
  <c r="U18" i="2" s="1"/>
  <c r="V18" i="2" s="1"/>
  <c r="H18" i="12" s="1"/>
  <c r="C20" i="21" s="1"/>
  <c r="B19" i="2"/>
  <c r="U19" i="2" s="1"/>
  <c r="V19" i="2" s="1"/>
  <c r="H19" i="12" s="1"/>
  <c r="C21" i="21" s="1"/>
  <c r="B20" i="2"/>
  <c r="U20" i="2" s="1"/>
  <c r="V20" i="2" s="1"/>
  <c r="H20" i="12" s="1"/>
  <c r="C22" i="21" s="1"/>
  <c r="B21" i="2"/>
  <c r="U21" i="2" s="1"/>
  <c r="V21" i="2" s="1"/>
  <c r="H21" i="12" s="1"/>
  <c r="C23" i="21" s="1"/>
  <c r="B22" i="2"/>
  <c r="U22" i="2" s="1"/>
  <c r="V22" i="2" s="1"/>
  <c r="H22" i="12" s="1"/>
  <c r="C24" i="21" s="1"/>
  <c r="B23" i="2"/>
  <c r="U23" i="2" s="1"/>
  <c r="V23" i="2" s="1"/>
  <c r="H23" i="12" s="1"/>
  <c r="C25" i="21" s="1"/>
  <c r="B24" i="2"/>
  <c r="U24" i="2" s="1"/>
  <c r="V24" i="2" s="1"/>
  <c r="H24" i="12" s="1"/>
  <c r="C26" i="21" s="1"/>
  <c r="B25" i="2"/>
  <c r="U25" i="2" s="1"/>
  <c r="V25" i="2" s="1"/>
  <c r="H25" i="12" s="1"/>
  <c r="C27" i="21" s="1"/>
  <c r="B26" i="2"/>
  <c r="U26" i="2" s="1"/>
  <c r="V26" i="2" s="1"/>
  <c r="H26" i="12" s="1"/>
  <c r="C28" i="21" s="1"/>
  <c r="B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3" i="2"/>
  <c r="B4" i="3"/>
  <c r="B4" i="11" s="1"/>
  <c r="C4" i="3"/>
  <c r="C4" i="12" s="1"/>
  <c r="P4" i="12" s="1"/>
  <c r="D4" i="3"/>
  <c r="D4" i="11" s="1"/>
  <c r="B5" i="3"/>
  <c r="B5" i="11" s="1"/>
  <c r="C5" i="3"/>
  <c r="C5" i="11" s="1"/>
  <c r="D5" i="3"/>
  <c r="D5" i="11" s="1"/>
  <c r="B6" i="3"/>
  <c r="C6" i="3"/>
  <c r="C6" i="12" s="1"/>
  <c r="C6" i="13" s="1"/>
  <c r="D6" i="3"/>
  <c r="D6" i="11" s="1"/>
  <c r="B7" i="3"/>
  <c r="B7" i="11" s="1"/>
  <c r="C7" i="3"/>
  <c r="C7" i="11" s="1"/>
  <c r="D7" i="3"/>
  <c r="D7" i="11" s="1"/>
  <c r="B8" i="3"/>
  <c r="C8" i="3"/>
  <c r="C8" i="11" s="1"/>
  <c r="D8" i="3"/>
  <c r="D8" i="12" s="1"/>
  <c r="B9" i="3"/>
  <c r="C9" i="3"/>
  <c r="C9" i="11" s="1"/>
  <c r="D9" i="3"/>
  <c r="D9" i="11" s="1"/>
  <c r="B10" i="3"/>
  <c r="B10" i="11" s="1"/>
  <c r="C10" i="3"/>
  <c r="C10" i="11" s="1"/>
  <c r="D10" i="3"/>
  <c r="D10" i="11" s="1"/>
  <c r="B11" i="3"/>
  <c r="B11" i="11" s="1"/>
  <c r="C11" i="3"/>
  <c r="C11" i="12" s="1"/>
  <c r="D11" i="3"/>
  <c r="D11" i="12" s="1"/>
  <c r="D11" i="15" s="1"/>
  <c r="B12" i="3"/>
  <c r="B12" i="11" s="1"/>
  <c r="C12" i="3"/>
  <c r="C12" i="11" s="1"/>
  <c r="D12" i="3"/>
  <c r="D12" i="11" s="1"/>
  <c r="B13" i="3"/>
  <c r="B13" i="11" s="1"/>
  <c r="C13" i="3"/>
  <c r="C13" i="11" s="1"/>
  <c r="D13" i="3"/>
  <c r="D13" i="11" s="1"/>
  <c r="B14" i="3"/>
  <c r="C14" i="3"/>
  <c r="C14" i="12" s="1"/>
  <c r="C14" i="13" s="1"/>
  <c r="D14" i="3"/>
  <c r="D14" i="11" s="1"/>
  <c r="B15" i="3"/>
  <c r="B15" i="11" s="1"/>
  <c r="C15" i="3"/>
  <c r="C15" i="11" s="1"/>
  <c r="D15" i="3"/>
  <c r="D15" i="11" s="1"/>
  <c r="B16" i="3"/>
  <c r="B16" i="12" s="1"/>
  <c r="B18" i="21" s="1"/>
  <c r="C16" i="3"/>
  <c r="C16" i="11" s="1"/>
  <c r="D16" i="3"/>
  <c r="D16" i="12" s="1"/>
  <c r="B17" i="3"/>
  <c r="C17" i="3"/>
  <c r="C17" i="11" s="1"/>
  <c r="D17" i="3"/>
  <c r="D17" i="11" s="1"/>
  <c r="B18" i="3"/>
  <c r="B18" i="11" s="1"/>
  <c r="C18" i="3"/>
  <c r="C18" i="11" s="1"/>
  <c r="D18" i="3"/>
  <c r="D18" i="11" s="1"/>
  <c r="B19" i="3"/>
  <c r="B19" i="11" s="1"/>
  <c r="C19" i="3"/>
  <c r="C19" i="12" s="1"/>
  <c r="D19" i="3"/>
  <c r="D19" i="12" s="1"/>
  <c r="B20" i="3"/>
  <c r="B20" i="11" s="1"/>
  <c r="C20" i="3"/>
  <c r="C20" i="11" s="1"/>
  <c r="D20" i="3"/>
  <c r="D20" i="11" s="1"/>
  <c r="B21" i="3"/>
  <c r="B21" i="11" s="1"/>
  <c r="C21" i="3"/>
  <c r="C21" i="11" s="1"/>
  <c r="D21" i="3"/>
  <c r="D21" i="11" s="1"/>
  <c r="B22" i="3"/>
  <c r="C22" i="3"/>
  <c r="C22" i="12" s="1"/>
  <c r="C22" i="13" s="1"/>
  <c r="D22" i="3"/>
  <c r="D22" i="11" s="1"/>
  <c r="B23" i="3"/>
  <c r="B23" i="11" s="1"/>
  <c r="C23" i="3"/>
  <c r="C23" i="11" s="1"/>
  <c r="D23" i="3"/>
  <c r="D23" i="11" s="1"/>
  <c r="B24" i="3"/>
  <c r="C24" i="3"/>
  <c r="C24" i="11" s="1"/>
  <c r="D24" i="3"/>
  <c r="D24" i="12" s="1"/>
  <c r="B25" i="3"/>
  <c r="C25" i="3"/>
  <c r="C25" i="11" s="1"/>
  <c r="D25" i="3"/>
  <c r="D25" i="11" s="1"/>
  <c r="B26" i="3"/>
  <c r="B26" i="11" s="1"/>
  <c r="C26" i="3"/>
  <c r="C26" i="11" s="1"/>
  <c r="D26" i="3"/>
  <c r="D26" i="11" s="1"/>
  <c r="C3" i="3"/>
  <c r="D3" i="3"/>
  <c r="I8" i="4"/>
  <c r="AG19" i="15" s="1"/>
  <c r="I14" i="15" l="1"/>
  <c r="AH14" i="15" s="1"/>
  <c r="J23" i="13"/>
  <c r="I24" i="15"/>
  <c r="I25" i="15"/>
  <c r="J22" i="15"/>
  <c r="I21" i="15"/>
  <c r="I10" i="15"/>
  <c r="AH10" i="15" s="1"/>
  <c r="I16" i="15"/>
  <c r="AH16" i="15" s="1"/>
  <c r="E6" i="3"/>
  <c r="E6" i="11" s="1"/>
  <c r="K6" i="11" s="1"/>
  <c r="E22" i="3"/>
  <c r="E22" i="11" s="1"/>
  <c r="K22" i="11" s="1"/>
  <c r="E14" i="3"/>
  <c r="E14" i="11" s="1"/>
  <c r="K14" i="11" s="1"/>
  <c r="E3" i="3"/>
  <c r="E3" i="11" s="1"/>
  <c r="K3" i="11" s="1"/>
  <c r="I4" i="3"/>
  <c r="C4" i="22"/>
  <c r="AA4" i="22" s="1"/>
  <c r="C4" i="19"/>
  <c r="AA4" i="19" s="1"/>
  <c r="AB4" i="12"/>
  <c r="D19" i="15"/>
  <c r="Q19" i="12"/>
  <c r="D24" i="15"/>
  <c r="D24" i="13"/>
  <c r="P24" i="3" s="1"/>
  <c r="Q24" i="12"/>
  <c r="D16" i="15"/>
  <c r="Q16" i="12"/>
  <c r="D16" i="13"/>
  <c r="D8" i="15"/>
  <c r="AC37" i="15" s="1"/>
  <c r="Q8" i="12"/>
  <c r="D8" i="13"/>
  <c r="E24" i="3"/>
  <c r="E24" i="11" s="1"/>
  <c r="K24" i="11" s="1"/>
  <c r="D18" i="9"/>
  <c r="J18" i="11"/>
  <c r="P18" i="11"/>
  <c r="I23" i="11"/>
  <c r="O23" i="11"/>
  <c r="C15" i="9"/>
  <c r="I15" i="11"/>
  <c r="O15" i="11"/>
  <c r="D12" i="9"/>
  <c r="J12" i="11"/>
  <c r="P12" i="11"/>
  <c r="C20" i="9"/>
  <c r="I20" i="11"/>
  <c r="O20" i="11"/>
  <c r="D22" i="9"/>
  <c r="J22" i="11"/>
  <c r="P22" i="11"/>
  <c r="H20" i="11"/>
  <c r="N20" i="11"/>
  <c r="C17" i="9"/>
  <c r="I17" i="11"/>
  <c r="O17" i="11"/>
  <c r="D14" i="9"/>
  <c r="J14" i="11"/>
  <c r="P14" i="11"/>
  <c r="H12" i="11"/>
  <c r="N12" i="11"/>
  <c r="E25" i="3"/>
  <c r="E25" i="11" s="1"/>
  <c r="K25" i="11" s="1"/>
  <c r="E17" i="3"/>
  <c r="E17" i="11" s="1"/>
  <c r="K17" i="11" s="1"/>
  <c r="E9" i="3"/>
  <c r="E9" i="11" s="1"/>
  <c r="K9" i="11" s="1"/>
  <c r="E21" i="3"/>
  <c r="E21" i="11" s="1"/>
  <c r="K21" i="11" s="1"/>
  <c r="B22" i="11"/>
  <c r="C11" i="11"/>
  <c r="B4" i="12"/>
  <c r="B6" i="21" s="1"/>
  <c r="D6" i="12"/>
  <c r="D6" i="15" s="1"/>
  <c r="AC35" i="15" s="1"/>
  <c r="C9" i="12"/>
  <c r="B12" i="12"/>
  <c r="B14" i="21" s="1"/>
  <c r="D14" i="12"/>
  <c r="D14" i="15" s="1"/>
  <c r="AC43" i="15" s="1"/>
  <c r="C17" i="12"/>
  <c r="B20" i="12"/>
  <c r="B22" i="21" s="1"/>
  <c r="D22" i="12"/>
  <c r="D22" i="15" s="1"/>
  <c r="T22" i="15" s="1"/>
  <c r="AV22" i="15" s="1"/>
  <c r="C25" i="12"/>
  <c r="K20" i="19"/>
  <c r="W20" i="19" s="1"/>
  <c r="E13" i="3"/>
  <c r="E13" i="11" s="1"/>
  <c r="K13" i="11" s="1"/>
  <c r="D19" i="11"/>
  <c r="B9" i="11"/>
  <c r="B7" i="12"/>
  <c r="B9" i="21" s="1"/>
  <c r="D9" i="12"/>
  <c r="C12" i="12"/>
  <c r="P12" i="12" s="1"/>
  <c r="I12" i="9" s="1"/>
  <c r="B15" i="12"/>
  <c r="B17" i="21" s="1"/>
  <c r="D17" i="12"/>
  <c r="C20" i="12"/>
  <c r="P20" i="12" s="1"/>
  <c r="B23" i="12"/>
  <c r="B25" i="21" s="1"/>
  <c r="D25" i="12"/>
  <c r="D21" i="9"/>
  <c r="J21" i="11"/>
  <c r="P21" i="11"/>
  <c r="B19" i="9"/>
  <c r="N19" i="11"/>
  <c r="H19" i="11"/>
  <c r="C16" i="9"/>
  <c r="I16" i="11"/>
  <c r="O16" i="11"/>
  <c r="D13" i="9"/>
  <c r="J13" i="11"/>
  <c r="P13" i="11"/>
  <c r="B11" i="9"/>
  <c r="N11" i="11"/>
  <c r="H11" i="11"/>
  <c r="C8" i="9"/>
  <c r="I8" i="11"/>
  <c r="O8" i="11"/>
  <c r="D5" i="9"/>
  <c r="J5" i="11"/>
  <c r="P5" i="11"/>
  <c r="E5" i="3"/>
  <c r="E5" i="11" s="1"/>
  <c r="K5" i="11" s="1"/>
  <c r="C19" i="11"/>
  <c r="D8" i="11"/>
  <c r="D4" i="12"/>
  <c r="D4" i="15" s="1"/>
  <c r="C7" i="12"/>
  <c r="B10" i="12"/>
  <c r="B12" i="21" s="1"/>
  <c r="D12" i="12"/>
  <c r="D12" i="15" s="1"/>
  <c r="T12" i="15" s="1"/>
  <c r="X41" i="15" s="1"/>
  <c r="AD12" i="15" s="1"/>
  <c r="C15" i="12"/>
  <c r="P15" i="12" s="1"/>
  <c r="B18" i="12"/>
  <c r="B20" i="21" s="1"/>
  <c r="D20" i="12"/>
  <c r="D20" i="15" s="1"/>
  <c r="Y20" i="15" s="1"/>
  <c r="C23" i="12"/>
  <c r="B26" i="12"/>
  <c r="B28" i="21" s="1"/>
  <c r="D3" i="11"/>
  <c r="D27" i="3"/>
  <c r="E5" i="5" s="1"/>
  <c r="C24" i="9"/>
  <c r="I24" i="11"/>
  <c r="O24" i="11"/>
  <c r="D10" i="9"/>
  <c r="J10" i="11"/>
  <c r="P10" i="11"/>
  <c r="B27" i="3"/>
  <c r="C5" i="5" s="1"/>
  <c r="B17" i="11"/>
  <c r="C6" i="11"/>
  <c r="B5" i="12"/>
  <c r="B7" i="21" s="1"/>
  <c r="D7" i="12"/>
  <c r="D7" i="15" s="1"/>
  <c r="AC36" i="15" s="1"/>
  <c r="C10" i="12"/>
  <c r="C10" i="15" s="1"/>
  <c r="B13" i="12"/>
  <c r="B15" i="21" s="1"/>
  <c r="D15" i="12"/>
  <c r="D15" i="15" s="1"/>
  <c r="C18" i="12"/>
  <c r="B21" i="12"/>
  <c r="B23" i="21" s="1"/>
  <c r="D23" i="12"/>
  <c r="D23" i="15" s="1"/>
  <c r="AC52" i="15" s="1"/>
  <c r="C26" i="12"/>
  <c r="C26" i="13" s="1"/>
  <c r="C21" i="9"/>
  <c r="I21" i="11"/>
  <c r="O21" i="11"/>
  <c r="C13" i="9"/>
  <c r="I13" i="11"/>
  <c r="O13" i="11"/>
  <c r="E8" i="3"/>
  <c r="E8" i="11" s="1"/>
  <c r="K8" i="11" s="1"/>
  <c r="C5" i="9"/>
  <c r="I5" i="11"/>
  <c r="O5" i="11"/>
  <c r="C26" i="9"/>
  <c r="I26" i="11"/>
  <c r="O26" i="11"/>
  <c r="D23" i="9"/>
  <c r="J23" i="11"/>
  <c r="P23" i="11"/>
  <c r="B21" i="9"/>
  <c r="N21" i="11"/>
  <c r="H21" i="11"/>
  <c r="C18" i="9"/>
  <c r="I18" i="11"/>
  <c r="O18" i="11"/>
  <c r="D15" i="9"/>
  <c r="J15" i="11"/>
  <c r="P15" i="11"/>
  <c r="B13" i="9"/>
  <c r="H13" i="11"/>
  <c r="N13" i="11"/>
  <c r="C10" i="9"/>
  <c r="I10" i="11"/>
  <c r="O10" i="11"/>
  <c r="D7" i="9"/>
  <c r="J7" i="11"/>
  <c r="P7" i="11"/>
  <c r="B5" i="9"/>
  <c r="N5" i="11"/>
  <c r="H5" i="11"/>
  <c r="B3" i="11"/>
  <c r="B3" i="9" s="1"/>
  <c r="D16" i="11"/>
  <c r="B6" i="11"/>
  <c r="C5" i="12"/>
  <c r="P5" i="12" s="1"/>
  <c r="B8" i="12"/>
  <c r="B10" i="21" s="1"/>
  <c r="D10" i="12"/>
  <c r="D10" i="15" s="1"/>
  <c r="C13" i="12"/>
  <c r="P13" i="12" s="1"/>
  <c r="D18" i="12"/>
  <c r="D18" i="15" s="1"/>
  <c r="C21" i="12"/>
  <c r="P21" i="12" s="1"/>
  <c r="V21" i="12" s="1"/>
  <c r="B24" i="12"/>
  <c r="B26" i="21" s="1"/>
  <c r="D26" i="12"/>
  <c r="D26" i="15" s="1"/>
  <c r="AC55" i="15" s="1"/>
  <c r="C3" i="11"/>
  <c r="C3" i="9" s="1"/>
  <c r="J5" i="15"/>
  <c r="I6" i="15"/>
  <c r="D4" i="9"/>
  <c r="J4" i="11"/>
  <c r="P4" i="11"/>
  <c r="B25" i="11"/>
  <c r="C14" i="11"/>
  <c r="D5" i="12"/>
  <c r="C8" i="12"/>
  <c r="B11" i="12"/>
  <c r="B13" i="21" s="1"/>
  <c r="D13" i="12"/>
  <c r="D13" i="13" s="1"/>
  <c r="C16" i="12"/>
  <c r="B19" i="12"/>
  <c r="B21" i="21" s="1"/>
  <c r="D21" i="12"/>
  <c r="C24" i="12"/>
  <c r="N10" i="11"/>
  <c r="H10" i="11"/>
  <c r="D25" i="9"/>
  <c r="J25" i="11"/>
  <c r="P25" i="11"/>
  <c r="D17" i="9"/>
  <c r="J17" i="11"/>
  <c r="P17" i="11"/>
  <c r="B15" i="9"/>
  <c r="N15" i="11"/>
  <c r="H15" i="11"/>
  <c r="C12" i="9"/>
  <c r="I12" i="11"/>
  <c r="O12" i="11"/>
  <c r="D9" i="9"/>
  <c r="J9" i="11"/>
  <c r="P9" i="11"/>
  <c r="B7" i="9"/>
  <c r="N7" i="11"/>
  <c r="H7" i="11"/>
  <c r="E4" i="3"/>
  <c r="E4" i="11" s="1"/>
  <c r="K4" i="11" s="1"/>
  <c r="D24" i="11"/>
  <c r="B14" i="11"/>
  <c r="B3" i="12"/>
  <c r="B5" i="21" s="1"/>
  <c r="B6" i="12"/>
  <c r="B8" i="21" s="1"/>
  <c r="B14" i="12"/>
  <c r="B16" i="21" s="1"/>
  <c r="B22" i="12"/>
  <c r="B24" i="21" s="1"/>
  <c r="C27" i="3"/>
  <c r="D26" i="9"/>
  <c r="J26" i="11"/>
  <c r="P26" i="11"/>
  <c r="E16" i="3"/>
  <c r="E16" i="11" s="1"/>
  <c r="K16" i="11" s="1"/>
  <c r="N26" i="11"/>
  <c r="H26" i="11"/>
  <c r="D20" i="9"/>
  <c r="J20" i="11"/>
  <c r="P20" i="11"/>
  <c r="N18" i="11"/>
  <c r="H18" i="11"/>
  <c r="C7" i="9"/>
  <c r="I7" i="11"/>
  <c r="O7" i="11"/>
  <c r="B23" i="9"/>
  <c r="N23" i="11"/>
  <c r="H23" i="11"/>
  <c r="C25" i="9"/>
  <c r="I25" i="11"/>
  <c r="O25" i="11"/>
  <c r="C9" i="9"/>
  <c r="I9" i="11"/>
  <c r="O9" i="11"/>
  <c r="D6" i="9"/>
  <c r="J6" i="11"/>
  <c r="P6" i="11"/>
  <c r="H4" i="11"/>
  <c r="N4" i="11"/>
  <c r="C22" i="11"/>
  <c r="D11" i="11"/>
  <c r="C3" i="12"/>
  <c r="P3" i="12" s="1"/>
  <c r="I3" i="3" s="1"/>
  <c r="B9" i="12"/>
  <c r="B11" i="21" s="1"/>
  <c r="B17" i="12"/>
  <c r="B19" i="21" s="1"/>
  <c r="B25" i="12"/>
  <c r="B27" i="21" s="1"/>
  <c r="K19" i="19"/>
  <c r="W19" i="19" s="1"/>
  <c r="K24" i="19"/>
  <c r="W24" i="19" s="1"/>
  <c r="AH23" i="15"/>
  <c r="K12" i="19"/>
  <c r="W12" i="19" s="1"/>
  <c r="K18" i="19"/>
  <c r="W18" i="19" s="1"/>
  <c r="K7" i="19"/>
  <c r="W7" i="19" s="1"/>
  <c r="AG3" i="15"/>
  <c r="AG13" i="15"/>
  <c r="K21" i="22"/>
  <c r="W21" i="22" s="1"/>
  <c r="K17" i="19"/>
  <c r="W17" i="19" s="1"/>
  <c r="H27" i="13"/>
  <c r="C18" i="5" s="1"/>
  <c r="J18" i="5" s="1"/>
  <c r="AC25" i="13"/>
  <c r="K15" i="19"/>
  <c r="W15" i="19" s="1"/>
  <c r="K8" i="22"/>
  <c r="W8" i="22" s="1"/>
  <c r="AH7" i="15"/>
  <c r="AH18" i="15"/>
  <c r="AG18" i="15"/>
  <c r="AI23" i="15"/>
  <c r="AI14" i="15"/>
  <c r="AH12" i="15"/>
  <c r="J15" i="13"/>
  <c r="K15" i="13" s="1"/>
  <c r="AI22" i="15"/>
  <c r="K9" i="19"/>
  <c r="W9" i="19" s="1"/>
  <c r="V20" i="22"/>
  <c r="V23" i="22"/>
  <c r="AH25" i="15"/>
  <c r="AH9" i="15"/>
  <c r="AI21" i="15"/>
  <c r="AI10" i="15"/>
  <c r="AH24" i="15"/>
  <c r="AI8" i="15"/>
  <c r="H27" i="19"/>
  <c r="K4" i="19"/>
  <c r="T12" i="22"/>
  <c r="K12" i="22"/>
  <c r="W12" i="22" s="1"/>
  <c r="K13" i="19"/>
  <c r="W13" i="19" s="1"/>
  <c r="K5" i="19"/>
  <c r="W5" i="19" s="1"/>
  <c r="K19" i="22"/>
  <c r="W19" i="22" s="1"/>
  <c r="T14" i="22"/>
  <c r="K14" i="22"/>
  <c r="W14" i="22" s="1"/>
  <c r="T15" i="22"/>
  <c r="K15" i="22"/>
  <c r="W15" i="22" s="1"/>
  <c r="K8" i="19"/>
  <c r="W8" i="19" s="1"/>
  <c r="K16" i="22"/>
  <c r="W16" i="22" s="1"/>
  <c r="AG21" i="15"/>
  <c r="T9" i="22"/>
  <c r="K9" i="22"/>
  <c r="W9" i="22" s="1"/>
  <c r="U19" i="22"/>
  <c r="U22" i="22"/>
  <c r="T7" i="22"/>
  <c r="K7" i="22"/>
  <c r="W7" i="22" s="1"/>
  <c r="AH21" i="15"/>
  <c r="AH5" i="15"/>
  <c r="AI17" i="15"/>
  <c r="AI12" i="15"/>
  <c r="AH26" i="15"/>
  <c r="I19" i="13"/>
  <c r="K19" i="13" s="1"/>
  <c r="AG20" i="15"/>
  <c r="AG10" i="15"/>
  <c r="J27" i="19"/>
  <c r="T20" i="22"/>
  <c r="K20" i="22"/>
  <c r="W20" i="22" s="1"/>
  <c r="AG24" i="15"/>
  <c r="T6" i="22"/>
  <c r="K6" i="22"/>
  <c r="W6" i="22" s="1"/>
  <c r="V22" i="22"/>
  <c r="AG11" i="15"/>
  <c r="U16" i="22"/>
  <c r="AG12" i="15"/>
  <c r="V11" i="22"/>
  <c r="AG5" i="15"/>
  <c r="T25" i="22"/>
  <c r="K25" i="22"/>
  <c r="W25" i="22" s="1"/>
  <c r="AH19" i="15"/>
  <c r="AH3" i="15"/>
  <c r="AI11" i="15"/>
  <c r="AI16" i="15"/>
  <c r="AH20" i="15"/>
  <c r="AH4" i="15"/>
  <c r="AC5" i="13"/>
  <c r="T26" i="22"/>
  <c r="K26" i="22"/>
  <c r="W26" i="22" s="1"/>
  <c r="U12" i="22"/>
  <c r="U20" i="22"/>
  <c r="K13" i="22"/>
  <c r="W13" i="22" s="1"/>
  <c r="K5" i="22"/>
  <c r="W5" i="22" s="1"/>
  <c r="AG16" i="15"/>
  <c r="U14" i="22"/>
  <c r="K22" i="19"/>
  <c r="W22" i="19" s="1"/>
  <c r="AG7" i="15"/>
  <c r="AG22" i="15"/>
  <c r="V16" i="22"/>
  <c r="T10" i="22"/>
  <c r="K10" i="22"/>
  <c r="W10" i="22" s="1"/>
  <c r="K11" i="19"/>
  <c r="W11" i="19" s="1"/>
  <c r="U9" i="22"/>
  <c r="U15" i="22"/>
  <c r="AH17" i="15"/>
  <c r="H27" i="15"/>
  <c r="J22" i="5" s="1"/>
  <c r="AI7" i="15"/>
  <c r="AI20" i="15"/>
  <c r="AH6" i="15"/>
  <c r="V12" i="22"/>
  <c r="V19" i="22"/>
  <c r="AG8" i="15"/>
  <c r="K14" i="19"/>
  <c r="W14" i="19" s="1"/>
  <c r="AG14" i="15"/>
  <c r="U25" i="22"/>
  <c r="AG26" i="15"/>
  <c r="U17" i="22"/>
  <c r="AH15" i="15"/>
  <c r="AI3" i="15"/>
  <c r="AI6" i="15"/>
  <c r="AI24" i="15"/>
  <c r="AE3" i="13"/>
  <c r="AE9" i="13"/>
  <c r="V26" i="22"/>
  <c r="T4" i="22"/>
  <c r="H27" i="22"/>
  <c r="K4" i="22"/>
  <c r="V13" i="22"/>
  <c r="U6" i="22"/>
  <c r="T23" i="22"/>
  <c r="K23" i="22"/>
  <c r="W23" i="22" s="1"/>
  <c r="U7" i="22"/>
  <c r="AG6" i="15"/>
  <c r="V8" i="22"/>
  <c r="T17" i="22"/>
  <c r="K17" i="22"/>
  <c r="W17" i="22" s="1"/>
  <c r="AG4" i="15"/>
  <c r="AG23" i="15"/>
  <c r="AI15" i="15"/>
  <c r="I13" i="15"/>
  <c r="AH13" i="15" s="1"/>
  <c r="J13" i="15"/>
  <c r="AI13" i="15" s="1"/>
  <c r="AI25" i="15"/>
  <c r="AH22" i="15"/>
  <c r="J18" i="15"/>
  <c r="AI18" i="15" s="1"/>
  <c r="AE14" i="13"/>
  <c r="K26" i="19"/>
  <c r="W26" i="19" s="1"/>
  <c r="U4" i="22"/>
  <c r="O4" i="22"/>
  <c r="I27" i="22"/>
  <c r="AG25" i="15"/>
  <c r="K21" i="19"/>
  <c r="W21" i="19" s="1"/>
  <c r="V6" i="22"/>
  <c r="T22" i="22"/>
  <c r="K22" i="22"/>
  <c r="W22" i="22" s="1"/>
  <c r="K23" i="19"/>
  <c r="W23" i="19" s="1"/>
  <c r="K16" i="19"/>
  <c r="W16" i="19" s="1"/>
  <c r="K10" i="19"/>
  <c r="W10" i="19" s="1"/>
  <c r="K11" i="22"/>
  <c r="W11" i="22" s="1"/>
  <c r="V17" i="22"/>
  <c r="T18" i="22"/>
  <c r="K18" i="22"/>
  <c r="W18" i="22" s="1"/>
  <c r="I27" i="19"/>
  <c r="V24" i="22"/>
  <c r="AC20" i="13"/>
  <c r="U3" i="22"/>
  <c r="T5" i="22"/>
  <c r="V25" i="22"/>
  <c r="U18" i="22"/>
  <c r="V18" i="22"/>
  <c r="V21" i="22"/>
  <c r="U13" i="22"/>
  <c r="U24" i="22"/>
  <c r="V10" i="22"/>
  <c r="V15" i="22"/>
  <c r="T21" i="22"/>
  <c r="T13" i="22"/>
  <c r="U10" i="22"/>
  <c r="V9" i="22"/>
  <c r="U26" i="22"/>
  <c r="U8" i="22"/>
  <c r="V5" i="22"/>
  <c r="T16" i="22"/>
  <c r="T11" i="22"/>
  <c r="T24" i="22"/>
  <c r="U21" i="22"/>
  <c r="T19" i="22"/>
  <c r="T8" i="22"/>
  <c r="U5" i="22"/>
  <c r="W3" i="22"/>
  <c r="T3" i="22"/>
  <c r="V3" i="22"/>
  <c r="V10" i="19"/>
  <c r="T3" i="19"/>
  <c r="V11" i="19"/>
  <c r="V19" i="19"/>
  <c r="V3" i="19"/>
  <c r="U10" i="19"/>
  <c r="U18" i="19"/>
  <c r="U26" i="19"/>
  <c r="T11" i="19"/>
  <c r="T19" i="19"/>
  <c r="V13" i="19"/>
  <c r="U4" i="19"/>
  <c r="T5" i="19"/>
  <c r="T21" i="19"/>
  <c r="V4" i="19"/>
  <c r="V12" i="19"/>
  <c r="V20" i="19"/>
  <c r="U3" i="19"/>
  <c r="U11" i="19"/>
  <c r="U19" i="19"/>
  <c r="T4" i="19"/>
  <c r="T12" i="19"/>
  <c r="T20" i="19"/>
  <c r="V21" i="19"/>
  <c r="U12" i="19"/>
  <c r="U20" i="19"/>
  <c r="T13" i="19"/>
  <c r="T24" i="19"/>
  <c r="V5" i="19"/>
  <c r="V6" i="19"/>
  <c r="V14" i="19"/>
  <c r="V22" i="19"/>
  <c r="U5" i="19"/>
  <c r="U13" i="19"/>
  <c r="U21" i="19"/>
  <c r="T6" i="19"/>
  <c r="T14" i="19"/>
  <c r="T22" i="19"/>
  <c r="V8" i="19"/>
  <c r="V24" i="19"/>
  <c r="U15" i="19"/>
  <c r="T8" i="19"/>
  <c r="V7" i="19"/>
  <c r="V15" i="19"/>
  <c r="V23" i="19"/>
  <c r="U6" i="19"/>
  <c r="U14" i="19"/>
  <c r="U22" i="19"/>
  <c r="T7" i="19"/>
  <c r="T15" i="19"/>
  <c r="T23" i="19"/>
  <c r="V16" i="19"/>
  <c r="U7" i="19"/>
  <c r="U23" i="19"/>
  <c r="T16" i="19"/>
  <c r="V9" i="19"/>
  <c r="V17" i="19"/>
  <c r="V25" i="19"/>
  <c r="U8" i="19"/>
  <c r="U16" i="19"/>
  <c r="U24" i="19"/>
  <c r="T9" i="19"/>
  <c r="T17" i="19"/>
  <c r="T25" i="19"/>
  <c r="V18" i="19"/>
  <c r="V26" i="19"/>
  <c r="U9" i="19"/>
  <c r="U17" i="19"/>
  <c r="U25" i="19"/>
  <c r="T10" i="19"/>
  <c r="T18" i="19"/>
  <c r="T26" i="19"/>
  <c r="W3" i="19"/>
  <c r="AC3" i="13"/>
  <c r="AI5" i="15"/>
  <c r="AH11" i="15"/>
  <c r="AI9" i="15"/>
  <c r="AI26" i="15"/>
  <c r="AH8" i="15"/>
  <c r="AI4" i="15"/>
  <c r="I11" i="13"/>
  <c r="K11" i="13" s="1"/>
  <c r="AE18" i="13"/>
  <c r="V4" i="22"/>
  <c r="J27" i="22"/>
  <c r="AG9" i="15"/>
  <c r="AG17" i="15"/>
  <c r="K6" i="19"/>
  <c r="W6" i="19" s="1"/>
  <c r="V14" i="22"/>
  <c r="U23" i="22"/>
  <c r="V7" i="22"/>
  <c r="K24" i="22"/>
  <c r="W24" i="22" s="1"/>
  <c r="U11" i="22"/>
  <c r="K25" i="19"/>
  <c r="W25" i="19" s="1"/>
  <c r="AG15" i="15"/>
  <c r="AC33" i="15"/>
  <c r="AC49" i="15"/>
  <c r="T7" i="15"/>
  <c r="X36" i="15" s="1"/>
  <c r="AD7" i="15" s="1"/>
  <c r="T10" i="15"/>
  <c r="AV10" i="15" s="1"/>
  <c r="AC39" i="15"/>
  <c r="AC45" i="15"/>
  <c r="AC53" i="15"/>
  <c r="T15" i="15"/>
  <c r="AV15" i="15" s="1"/>
  <c r="AC44" i="15"/>
  <c r="AC40" i="15"/>
  <c r="AC48" i="15"/>
  <c r="T14" i="15"/>
  <c r="X43" i="15" s="1"/>
  <c r="AD14" i="15" s="1"/>
  <c r="AC51" i="15"/>
  <c r="Y19" i="15"/>
  <c r="AI19" i="15"/>
  <c r="Y11" i="15"/>
  <c r="Y16" i="15"/>
  <c r="Y24" i="15"/>
  <c r="Y7" i="15"/>
  <c r="T24" i="15"/>
  <c r="Y15" i="15"/>
  <c r="Y26" i="15"/>
  <c r="Y4" i="15"/>
  <c r="T6" i="15"/>
  <c r="Y10" i="15"/>
  <c r="Y8" i="15"/>
  <c r="K23" i="15"/>
  <c r="Y22" i="15"/>
  <c r="T19" i="15"/>
  <c r="T4" i="15"/>
  <c r="T8" i="15"/>
  <c r="T20" i="15"/>
  <c r="T16" i="15"/>
  <c r="T11" i="15"/>
  <c r="K8" i="15"/>
  <c r="K22" i="15"/>
  <c r="K3" i="15"/>
  <c r="E9" i="9"/>
  <c r="E14" i="9"/>
  <c r="E22" i="9"/>
  <c r="E8" i="9"/>
  <c r="E17" i="9"/>
  <c r="E21" i="9"/>
  <c r="E6" i="9"/>
  <c r="AE11" i="13"/>
  <c r="AC24" i="13"/>
  <c r="AC13" i="13"/>
  <c r="AE6" i="13"/>
  <c r="AE25" i="13"/>
  <c r="AD3" i="13"/>
  <c r="AC10" i="13"/>
  <c r="AC6" i="13"/>
  <c r="AE26" i="13"/>
  <c r="AE22" i="13"/>
  <c r="AC26" i="13"/>
  <c r="AC17" i="13"/>
  <c r="AC9" i="13"/>
  <c r="AE19" i="13"/>
  <c r="AD8" i="13"/>
  <c r="AC12" i="13"/>
  <c r="AC7" i="13"/>
  <c r="AC11" i="13"/>
  <c r="AC21" i="13"/>
  <c r="AE13" i="13"/>
  <c r="AD16" i="13"/>
  <c r="AC4" i="13"/>
  <c r="AC18" i="13"/>
  <c r="AC8" i="13"/>
  <c r="AC19" i="13"/>
  <c r="AC14" i="13"/>
  <c r="AC22" i="13"/>
  <c r="AE21" i="13"/>
  <c r="AD24" i="13"/>
  <c r="AC23" i="13"/>
  <c r="AE10" i="13"/>
  <c r="AC16" i="13"/>
  <c r="AE5" i="13"/>
  <c r="AE17" i="13"/>
  <c r="AC15" i="13"/>
  <c r="AD20" i="13"/>
  <c r="AD17" i="13"/>
  <c r="AE12" i="13"/>
  <c r="AD15" i="13"/>
  <c r="AD19" i="13"/>
  <c r="AE4" i="13"/>
  <c r="AD14" i="13"/>
  <c r="K14" i="13"/>
  <c r="AD25" i="13"/>
  <c r="AD10" i="13"/>
  <c r="AE20" i="13"/>
  <c r="AE7" i="13"/>
  <c r="AD13" i="13"/>
  <c r="AD21" i="13"/>
  <c r="AD22" i="13"/>
  <c r="AE8" i="13"/>
  <c r="AD26" i="13"/>
  <c r="AD7" i="13"/>
  <c r="AE16" i="13"/>
  <c r="AD4" i="13"/>
  <c r="AE23" i="13"/>
  <c r="AD12" i="13"/>
  <c r="AD23" i="13"/>
  <c r="AD6" i="13"/>
  <c r="AD5" i="13"/>
  <c r="K6" i="13"/>
  <c r="AD9" i="13"/>
  <c r="AE24" i="13"/>
  <c r="AD18" i="13"/>
  <c r="K5" i="13"/>
  <c r="K22" i="13"/>
  <c r="K24" i="13"/>
  <c r="K23" i="13"/>
  <c r="K8" i="13"/>
  <c r="K17" i="13"/>
  <c r="K26" i="13"/>
  <c r="K7" i="13"/>
  <c r="K10" i="13"/>
  <c r="K18" i="13"/>
  <c r="K12" i="13"/>
  <c r="K4" i="13"/>
  <c r="K20" i="13"/>
  <c r="S45" i="13"/>
  <c r="P16" i="9" s="1"/>
  <c r="P16" i="3"/>
  <c r="S37" i="13"/>
  <c r="P8" i="9" s="1"/>
  <c r="P8" i="3"/>
  <c r="R35" i="13"/>
  <c r="O6" i="9" s="1"/>
  <c r="O6" i="3"/>
  <c r="R43" i="13"/>
  <c r="O14" i="9" s="1"/>
  <c r="O14" i="3"/>
  <c r="R51" i="13"/>
  <c r="O22" i="9" s="1"/>
  <c r="O22" i="3"/>
  <c r="S53" i="13"/>
  <c r="P24" i="9" s="1"/>
  <c r="K9" i="13"/>
  <c r="R55" i="13"/>
  <c r="O26" i="9" s="1"/>
  <c r="O26" i="3"/>
  <c r="K16" i="15"/>
  <c r="K4" i="15"/>
  <c r="K24" i="15"/>
  <c r="K10" i="15"/>
  <c r="K20" i="15"/>
  <c r="K6" i="15"/>
  <c r="K5" i="15"/>
  <c r="K14" i="15"/>
  <c r="K15" i="15"/>
  <c r="K12" i="15"/>
  <c r="K26" i="15"/>
  <c r="T6" i="13"/>
  <c r="AJ6" i="13" s="1"/>
  <c r="O6" i="13"/>
  <c r="I3" i="9"/>
  <c r="O26" i="13"/>
  <c r="T26" i="13"/>
  <c r="AJ26" i="13" s="1"/>
  <c r="T14" i="13"/>
  <c r="AJ14" i="13" s="1"/>
  <c r="O14" i="13"/>
  <c r="T22" i="13"/>
  <c r="AJ22" i="13" s="1"/>
  <c r="O22" i="13"/>
  <c r="C15" i="15"/>
  <c r="C23" i="15"/>
  <c r="C18" i="15"/>
  <c r="C13" i="15"/>
  <c r="I13" i="9"/>
  <c r="I5" i="9"/>
  <c r="D5" i="13"/>
  <c r="D9" i="13"/>
  <c r="D17" i="13"/>
  <c r="D21" i="13"/>
  <c r="D25" i="13"/>
  <c r="C7" i="15"/>
  <c r="D12" i="13"/>
  <c r="C5" i="15"/>
  <c r="Q12" i="12"/>
  <c r="C8" i="15"/>
  <c r="C16" i="15"/>
  <c r="C24" i="15"/>
  <c r="P8" i="12"/>
  <c r="V5" i="12"/>
  <c r="C11" i="15"/>
  <c r="C19" i="15"/>
  <c r="Q15" i="12"/>
  <c r="Q11" i="12"/>
  <c r="Q7" i="12"/>
  <c r="V20" i="12"/>
  <c r="V4" i="12"/>
  <c r="I13" i="3"/>
  <c r="C18" i="13"/>
  <c r="C26" i="15"/>
  <c r="D4" i="13"/>
  <c r="P24" i="12"/>
  <c r="P16" i="12"/>
  <c r="C3" i="15"/>
  <c r="C6" i="15"/>
  <c r="C14" i="15"/>
  <c r="C22" i="15"/>
  <c r="P23" i="12"/>
  <c r="P19" i="12"/>
  <c r="P11" i="12"/>
  <c r="P7" i="12"/>
  <c r="W19" i="12"/>
  <c r="I20" i="9"/>
  <c r="I4" i="9"/>
  <c r="D6" i="13"/>
  <c r="D10" i="13"/>
  <c r="D22" i="13"/>
  <c r="D26" i="13"/>
  <c r="U8" i="13"/>
  <c r="P8" i="13"/>
  <c r="U16" i="13"/>
  <c r="AK16" i="13" s="1"/>
  <c r="P16" i="13"/>
  <c r="D20" i="13"/>
  <c r="Q20" i="12"/>
  <c r="Q4" i="12"/>
  <c r="C5" i="13"/>
  <c r="C21" i="13"/>
  <c r="C9" i="15"/>
  <c r="C17" i="15"/>
  <c r="C25" i="15"/>
  <c r="Q22" i="12"/>
  <c r="Q10" i="12"/>
  <c r="Q6" i="12"/>
  <c r="C3" i="13"/>
  <c r="C7" i="13"/>
  <c r="C11" i="13"/>
  <c r="C19" i="13"/>
  <c r="C23" i="13"/>
  <c r="C13" i="13"/>
  <c r="C4" i="15"/>
  <c r="C12" i="15"/>
  <c r="C20" i="15"/>
  <c r="P26" i="12"/>
  <c r="P22" i="12"/>
  <c r="P18" i="12"/>
  <c r="P14" i="12"/>
  <c r="P6" i="12"/>
  <c r="D7" i="13"/>
  <c r="D11" i="13"/>
  <c r="D15" i="13"/>
  <c r="D19" i="13"/>
  <c r="D23" i="13"/>
  <c r="C4" i="13"/>
  <c r="C8" i="13"/>
  <c r="C12" i="13"/>
  <c r="C16" i="13"/>
  <c r="C20" i="13"/>
  <c r="C24" i="13"/>
  <c r="E9" i="12"/>
  <c r="E17" i="12"/>
  <c r="E21" i="12"/>
  <c r="E6" i="12"/>
  <c r="E14" i="12"/>
  <c r="E22" i="12"/>
  <c r="E24" i="12"/>
  <c r="K7" i="15"/>
  <c r="K21" i="15"/>
  <c r="K17" i="15"/>
  <c r="K11" i="15"/>
  <c r="K25" i="15"/>
  <c r="K9" i="15"/>
  <c r="K19" i="15"/>
  <c r="K3" i="13"/>
  <c r="D3" i="12"/>
  <c r="E3" i="12"/>
  <c r="E20" i="3"/>
  <c r="E19" i="3"/>
  <c r="E11" i="3"/>
  <c r="E26" i="3"/>
  <c r="E18" i="3"/>
  <c r="E10" i="3"/>
  <c r="B24" i="11"/>
  <c r="B16" i="11"/>
  <c r="B8" i="11"/>
  <c r="B8" i="9" s="1"/>
  <c r="E12" i="3"/>
  <c r="E23" i="3"/>
  <c r="E15" i="3"/>
  <c r="E7" i="3"/>
  <c r="C4" i="11"/>
  <c r="E3" i="9"/>
  <c r="B18" i="9"/>
  <c r="B10" i="9"/>
  <c r="B26" i="9"/>
  <c r="B4" i="9"/>
  <c r="D11" i="9"/>
  <c r="D3" i="9"/>
  <c r="C23" i="9"/>
  <c r="B25" i="9"/>
  <c r="B20" i="9"/>
  <c r="B12" i="9"/>
  <c r="D19" i="9"/>
  <c r="D57" i="2"/>
  <c r="D65" i="2"/>
  <c r="D64" i="2"/>
  <c r="D63" i="2"/>
  <c r="D62" i="2"/>
  <c r="D61" i="2"/>
  <c r="D60" i="2"/>
  <c r="E25" i="12" l="1"/>
  <c r="E5" i="9"/>
  <c r="E13" i="12"/>
  <c r="E13" i="9"/>
  <c r="E5" i="12"/>
  <c r="E25" i="9"/>
  <c r="J27" i="15"/>
  <c r="I21" i="3"/>
  <c r="V12" i="12"/>
  <c r="C21" i="15"/>
  <c r="Q23" i="11"/>
  <c r="E16" i="9"/>
  <c r="Q18" i="12"/>
  <c r="Y6" i="15"/>
  <c r="V3" i="12"/>
  <c r="K18" i="15"/>
  <c r="K27" i="15" s="1"/>
  <c r="O4" i="19"/>
  <c r="AM4" i="19" s="1"/>
  <c r="Q18" i="11"/>
  <c r="Q21" i="11"/>
  <c r="AC41" i="15"/>
  <c r="Y12" i="15"/>
  <c r="Q20" i="11"/>
  <c r="C27" i="11"/>
  <c r="I27" i="13"/>
  <c r="D18" i="5" s="1"/>
  <c r="K18" i="5" s="1"/>
  <c r="AD11" i="13"/>
  <c r="P10" i="12"/>
  <c r="Y18" i="15"/>
  <c r="D27" i="11"/>
  <c r="C10" i="13"/>
  <c r="Q26" i="12"/>
  <c r="D26" i="22" s="1"/>
  <c r="Q13" i="11"/>
  <c r="AF3" i="13"/>
  <c r="T26" i="15"/>
  <c r="AV26" i="15" s="1"/>
  <c r="AV12" i="15"/>
  <c r="C15" i="22"/>
  <c r="C15" i="19"/>
  <c r="AB15" i="12"/>
  <c r="B22" i="9"/>
  <c r="H22" i="11"/>
  <c r="N22" i="11"/>
  <c r="E8" i="12"/>
  <c r="D11" i="22"/>
  <c r="D11" i="19"/>
  <c r="AC11" i="12"/>
  <c r="E24" i="9"/>
  <c r="C3" i="22"/>
  <c r="C3" i="19"/>
  <c r="AB3" i="12"/>
  <c r="V13" i="12"/>
  <c r="C13" i="22"/>
  <c r="C13" i="19"/>
  <c r="AB13" i="12"/>
  <c r="N3" i="11"/>
  <c r="H3" i="11"/>
  <c r="I20" i="3"/>
  <c r="C20" i="22"/>
  <c r="C20" i="19"/>
  <c r="AB20" i="12"/>
  <c r="B9" i="9"/>
  <c r="N9" i="11"/>
  <c r="Q9" i="11" s="1"/>
  <c r="H9" i="11"/>
  <c r="D16" i="9"/>
  <c r="J16" i="11"/>
  <c r="P16" i="11"/>
  <c r="C19" i="9"/>
  <c r="I19" i="11"/>
  <c r="O19" i="11"/>
  <c r="B24" i="9"/>
  <c r="N24" i="11"/>
  <c r="H24" i="11"/>
  <c r="C22" i="22"/>
  <c r="C22" i="19"/>
  <c r="AB22" i="12"/>
  <c r="C15" i="13"/>
  <c r="D22" i="22"/>
  <c r="D22" i="19"/>
  <c r="AC22" i="12"/>
  <c r="D4" i="22"/>
  <c r="D4" i="19"/>
  <c r="AC4" i="12"/>
  <c r="C4" i="9"/>
  <c r="I4" i="11"/>
  <c r="O4" i="11"/>
  <c r="C26" i="22"/>
  <c r="C26" i="19"/>
  <c r="AB26" i="12"/>
  <c r="D20" i="22"/>
  <c r="D20" i="19"/>
  <c r="AC20" i="12"/>
  <c r="D18" i="13"/>
  <c r="C7" i="22"/>
  <c r="C7" i="19"/>
  <c r="AB7" i="12"/>
  <c r="P24" i="13"/>
  <c r="Z24" i="13" s="1"/>
  <c r="D15" i="22"/>
  <c r="D15" i="19"/>
  <c r="AC15" i="12"/>
  <c r="D12" i="22"/>
  <c r="D12" i="19"/>
  <c r="AC12" i="12"/>
  <c r="J27" i="13"/>
  <c r="E18" i="5" s="1"/>
  <c r="L18" i="5" s="1"/>
  <c r="AV7" i="15"/>
  <c r="AC47" i="15"/>
  <c r="B29" i="21"/>
  <c r="Q7" i="11"/>
  <c r="D5" i="15"/>
  <c r="Q5" i="12"/>
  <c r="C6" i="9"/>
  <c r="I6" i="11"/>
  <c r="O6" i="11"/>
  <c r="Q5" i="11"/>
  <c r="D17" i="15"/>
  <c r="Q17" i="12"/>
  <c r="J19" i="11"/>
  <c r="P19" i="11"/>
  <c r="Q19" i="11" s="1"/>
  <c r="C9" i="13"/>
  <c r="P9" i="12"/>
  <c r="J8" i="9"/>
  <c r="D8" i="22"/>
  <c r="D8" i="19"/>
  <c r="AC8" i="12"/>
  <c r="J8" i="3"/>
  <c r="W8" i="12"/>
  <c r="J19" i="3"/>
  <c r="D19" i="22"/>
  <c r="D19" i="19"/>
  <c r="AC19" i="12"/>
  <c r="J19" i="9"/>
  <c r="C18" i="22"/>
  <c r="C18" i="19"/>
  <c r="AB18" i="12"/>
  <c r="D7" i="22"/>
  <c r="D7" i="19"/>
  <c r="AC7" i="12"/>
  <c r="Q4" i="11"/>
  <c r="C11" i="22"/>
  <c r="C11" i="19"/>
  <c r="AB11" i="12"/>
  <c r="Y14" i="15"/>
  <c r="B17" i="9"/>
  <c r="H17" i="11"/>
  <c r="N17" i="11"/>
  <c r="Q17" i="11" s="1"/>
  <c r="B16" i="9"/>
  <c r="N16" i="11"/>
  <c r="H16" i="11"/>
  <c r="D18" i="22"/>
  <c r="D18" i="19"/>
  <c r="AC18" i="12"/>
  <c r="E4" i="12"/>
  <c r="D14" i="13"/>
  <c r="S43" i="13" s="1"/>
  <c r="P14" i="9" s="1"/>
  <c r="C27" i="12"/>
  <c r="U24" i="13"/>
  <c r="AK24" i="13" s="1"/>
  <c r="Q23" i="12"/>
  <c r="C8" i="22"/>
  <c r="C8" i="19"/>
  <c r="AB8" i="12"/>
  <c r="Y23" i="15"/>
  <c r="J11" i="11"/>
  <c r="P11" i="11"/>
  <c r="E27" i="3"/>
  <c r="F5" i="5" s="1"/>
  <c r="D5" i="5"/>
  <c r="Q10" i="11"/>
  <c r="D21" i="15"/>
  <c r="Q21" i="12"/>
  <c r="I3" i="11"/>
  <c r="O3" i="11"/>
  <c r="I5" i="3"/>
  <c r="C5" i="22"/>
  <c r="C5" i="19"/>
  <c r="AB5" i="12"/>
  <c r="J3" i="11"/>
  <c r="P3" i="11"/>
  <c r="I12" i="3"/>
  <c r="C12" i="22"/>
  <c r="C12" i="19"/>
  <c r="AB12" i="12"/>
  <c r="P25" i="12"/>
  <c r="C25" i="13"/>
  <c r="C6" i="22"/>
  <c r="C6" i="19"/>
  <c r="AB6" i="12"/>
  <c r="D6" i="22"/>
  <c r="D6" i="19"/>
  <c r="AC6" i="12"/>
  <c r="C19" i="22"/>
  <c r="C19" i="19"/>
  <c r="AB19" i="12"/>
  <c r="C16" i="22"/>
  <c r="C16" i="19"/>
  <c r="AB16" i="12"/>
  <c r="C22" i="9"/>
  <c r="I22" i="11"/>
  <c r="O22" i="11"/>
  <c r="C14" i="9"/>
  <c r="I14" i="11"/>
  <c r="O14" i="11"/>
  <c r="D9" i="15"/>
  <c r="Q9" i="12"/>
  <c r="Q12" i="11"/>
  <c r="J16" i="9"/>
  <c r="D16" i="22"/>
  <c r="D16" i="19"/>
  <c r="AC16" i="12"/>
  <c r="J16" i="3"/>
  <c r="W16" i="12"/>
  <c r="C10" i="22"/>
  <c r="C10" i="19"/>
  <c r="AB10" i="12"/>
  <c r="D10" i="22"/>
  <c r="D10" i="19"/>
  <c r="AC10" i="12"/>
  <c r="C23" i="22"/>
  <c r="C23" i="19"/>
  <c r="AB23" i="12"/>
  <c r="C24" i="22"/>
  <c r="C24" i="19"/>
  <c r="AB24" i="12"/>
  <c r="T23" i="15"/>
  <c r="X52" i="15" s="1"/>
  <c r="AD23" i="15" s="1"/>
  <c r="B14" i="9"/>
  <c r="H14" i="11"/>
  <c r="N14" i="11"/>
  <c r="N25" i="11"/>
  <c r="Q25" i="11" s="1"/>
  <c r="H25" i="11"/>
  <c r="Q15" i="11"/>
  <c r="B27" i="12"/>
  <c r="N8" i="11"/>
  <c r="H8" i="11"/>
  <c r="E16" i="12"/>
  <c r="C14" i="22"/>
  <c r="C14" i="19"/>
  <c r="AB14" i="12"/>
  <c r="Q14" i="12"/>
  <c r="E4" i="9"/>
  <c r="Q26" i="11"/>
  <c r="J24" i="11"/>
  <c r="P24" i="11"/>
  <c r="D24" i="9"/>
  <c r="D13" i="15"/>
  <c r="Q13" i="12"/>
  <c r="I21" i="9"/>
  <c r="C21" i="22"/>
  <c r="C21" i="19"/>
  <c r="AB21" i="12"/>
  <c r="B6" i="9"/>
  <c r="H6" i="11"/>
  <c r="N6" i="11"/>
  <c r="Q6" i="11" s="1"/>
  <c r="D8" i="9"/>
  <c r="J8" i="11"/>
  <c r="P8" i="11"/>
  <c r="D25" i="15"/>
  <c r="Q25" i="12"/>
  <c r="C17" i="13"/>
  <c r="C27" i="13" s="1"/>
  <c r="P17" i="12"/>
  <c r="I11" i="11"/>
  <c r="O11" i="11"/>
  <c r="C11" i="9"/>
  <c r="J24" i="9"/>
  <c r="D24" i="22"/>
  <c r="D24" i="19"/>
  <c r="AC24" i="12"/>
  <c r="J24" i="3"/>
  <c r="W24" i="12"/>
  <c r="AE15" i="13"/>
  <c r="AE27" i="13" s="1"/>
  <c r="E22" i="5" s="1"/>
  <c r="L22" i="5" s="1"/>
  <c r="AF25" i="13"/>
  <c r="X51" i="15"/>
  <c r="AD22" i="15" s="1"/>
  <c r="AF14" i="13"/>
  <c r="AF24" i="13"/>
  <c r="U27" i="19"/>
  <c r="T27" i="19"/>
  <c r="I27" i="15"/>
  <c r="AF9" i="13"/>
  <c r="W4" i="19"/>
  <c r="W27" i="19" s="1"/>
  <c r="K27" i="19"/>
  <c r="X39" i="15"/>
  <c r="AD10" i="15" s="1"/>
  <c r="V27" i="22"/>
  <c r="P41" i="22" s="1"/>
  <c r="K27" i="22"/>
  <c r="W4" i="22"/>
  <c r="W27" i="22" s="1"/>
  <c r="Q41" i="22" s="1"/>
  <c r="K13" i="15"/>
  <c r="T27" i="22"/>
  <c r="N41" i="22" s="1"/>
  <c r="AM4" i="22"/>
  <c r="AG4" i="22"/>
  <c r="T18" i="15"/>
  <c r="U27" i="22"/>
  <c r="O41" i="22" s="1"/>
  <c r="AF17" i="13"/>
  <c r="V27" i="19"/>
  <c r="AV14" i="15"/>
  <c r="S22" i="15"/>
  <c r="AU22" i="15" s="1"/>
  <c r="AB51" i="15"/>
  <c r="S23" i="15"/>
  <c r="W52" i="15" s="1"/>
  <c r="AC23" i="15" s="1"/>
  <c r="AB52" i="15"/>
  <c r="S14" i="15"/>
  <c r="AU14" i="15" s="1"/>
  <c r="AB43" i="15"/>
  <c r="S15" i="15"/>
  <c r="W44" i="15" s="1"/>
  <c r="AC15" i="15" s="1"/>
  <c r="AB44" i="15"/>
  <c r="X44" i="15"/>
  <c r="AD15" i="15" s="1"/>
  <c r="S7" i="15"/>
  <c r="W36" i="15" s="1"/>
  <c r="AC7" i="15" s="1"/>
  <c r="AB36" i="15"/>
  <c r="S6" i="15"/>
  <c r="AU6" i="15" s="1"/>
  <c r="AB35" i="15"/>
  <c r="S3" i="15"/>
  <c r="AU3" i="15" s="1"/>
  <c r="AB32" i="15"/>
  <c r="S20" i="15"/>
  <c r="AU20" i="15" s="1"/>
  <c r="AB49" i="15"/>
  <c r="S25" i="15"/>
  <c r="W54" i="15" s="1"/>
  <c r="AC25" i="15" s="1"/>
  <c r="AB54" i="15"/>
  <c r="S5" i="15"/>
  <c r="AU5" i="15" s="1"/>
  <c r="AB34" i="15"/>
  <c r="S8" i="15"/>
  <c r="W37" i="15" s="1"/>
  <c r="AC8" i="15" s="1"/>
  <c r="AB37" i="15"/>
  <c r="S18" i="15"/>
  <c r="W47" i="15" s="1"/>
  <c r="AC18" i="15" s="1"/>
  <c r="AB47" i="15"/>
  <c r="S12" i="15"/>
  <c r="W41" i="15" s="1"/>
  <c r="AC12" i="15" s="1"/>
  <c r="AB41" i="15"/>
  <c r="S17" i="15"/>
  <c r="W46" i="15" s="1"/>
  <c r="AC17" i="15" s="1"/>
  <c r="AB46" i="15"/>
  <c r="S19" i="15"/>
  <c r="W48" i="15" s="1"/>
  <c r="AC19" i="15" s="1"/>
  <c r="AB48" i="15"/>
  <c r="S24" i="15"/>
  <c r="W53" i="15" s="1"/>
  <c r="AC24" i="15" s="1"/>
  <c r="AB53" i="15"/>
  <c r="S21" i="15"/>
  <c r="W50" i="15" s="1"/>
  <c r="AC21" i="15" s="1"/>
  <c r="AB50" i="15"/>
  <c r="S4" i="15"/>
  <c r="W33" i="15" s="1"/>
  <c r="AC4" i="15" s="1"/>
  <c r="AB33" i="15"/>
  <c r="S9" i="15"/>
  <c r="W38" i="15" s="1"/>
  <c r="AC9" i="15" s="1"/>
  <c r="AB38" i="15"/>
  <c r="S26" i="15"/>
  <c r="AU26" i="15" s="1"/>
  <c r="AB55" i="15"/>
  <c r="S11" i="15"/>
  <c r="W40" i="15" s="1"/>
  <c r="AC11" i="15" s="1"/>
  <c r="AB40" i="15"/>
  <c r="S16" i="15"/>
  <c r="W45" i="15" s="1"/>
  <c r="AC16" i="15" s="1"/>
  <c r="AB45" i="15"/>
  <c r="S10" i="15"/>
  <c r="W39" i="15" s="1"/>
  <c r="AC10" i="15" s="1"/>
  <c r="AB39" i="15"/>
  <c r="S13" i="15"/>
  <c r="W42" i="15" s="1"/>
  <c r="AC13" i="15" s="1"/>
  <c r="AB42" i="15"/>
  <c r="X40" i="15"/>
  <c r="AD11" i="15" s="1"/>
  <c r="AV11" i="15"/>
  <c r="X55" i="15"/>
  <c r="AD26" i="15" s="1"/>
  <c r="X45" i="15"/>
  <c r="AD16" i="15" s="1"/>
  <c r="AV16" i="15"/>
  <c r="X33" i="15"/>
  <c r="AD4" i="15" s="1"/>
  <c r="AV4" i="15"/>
  <c r="X35" i="15"/>
  <c r="AD6" i="15" s="1"/>
  <c r="AV6" i="15"/>
  <c r="X49" i="15"/>
  <c r="AD20" i="15" s="1"/>
  <c r="AV20" i="15"/>
  <c r="X53" i="15"/>
  <c r="AD24" i="15" s="1"/>
  <c r="AV24" i="15"/>
  <c r="X48" i="15"/>
  <c r="AD19" i="15" s="1"/>
  <c r="AV19" i="15"/>
  <c r="AU18" i="15"/>
  <c r="X37" i="15"/>
  <c r="AD8" i="15" s="1"/>
  <c r="AV8" i="15"/>
  <c r="X24" i="15"/>
  <c r="AP24" i="15" s="1"/>
  <c r="X18" i="15"/>
  <c r="AP18" i="15" s="1"/>
  <c r="X26" i="15"/>
  <c r="AP26" i="15" s="1"/>
  <c r="X25" i="15"/>
  <c r="AP25" i="15" s="1"/>
  <c r="X23" i="15"/>
  <c r="AP23" i="15" s="1"/>
  <c r="X8" i="15"/>
  <c r="AP8" i="15" s="1"/>
  <c r="X17" i="15"/>
  <c r="AP17" i="15" s="1"/>
  <c r="X21" i="15"/>
  <c r="AP21" i="15" s="1"/>
  <c r="X4" i="15"/>
  <c r="AP4" i="15" s="1"/>
  <c r="X12" i="15"/>
  <c r="AP12" i="15" s="1"/>
  <c r="X14" i="15"/>
  <c r="AP14" i="15" s="1"/>
  <c r="X22" i="15"/>
  <c r="AP22" i="15" s="1"/>
  <c r="X3" i="15"/>
  <c r="X16" i="15"/>
  <c r="AP16" i="15" s="1"/>
  <c r="X19" i="15"/>
  <c r="AP19" i="15" s="1"/>
  <c r="X20" i="15"/>
  <c r="AP20" i="15" s="1"/>
  <c r="X11" i="15"/>
  <c r="AP11" i="15" s="1"/>
  <c r="X6" i="15"/>
  <c r="AP6" i="15" s="1"/>
  <c r="X10" i="15"/>
  <c r="AP10" i="15" s="1"/>
  <c r="X15" i="15"/>
  <c r="AP15" i="15" s="1"/>
  <c r="X7" i="15"/>
  <c r="AP7" i="15" s="1"/>
  <c r="X9" i="15"/>
  <c r="AP9" i="15" s="1"/>
  <c r="X13" i="15"/>
  <c r="AP13" i="15" s="1"/>
  <c r="X5" i="15"/>
  <c r="AP5" i="15" s="1"/>
  <c r="AF26" i="13"/>
  <c r="AF11" i="13"/>
  <c r="AF21" i="13"/>
  <c r="AF13" i="13"/>
  <c r="AF16" i="13"/>
  <c r="AF7" i="13"/>
  <c r="AF8" i="13"/>
  <c r="AF4" i="13"/>
  <c r="AF22" i="13"/>
  <c r="AF5" i="13"/>
  <c r="AF6" i="13"/>
  <c r="AF10" i="13"/>
  <c r="AC27" i="13"/>
  <c r="C22" i="5" s="1"/>
  <c r="AF23" i="13"/>
  <c r="AF20" i="13"/>
  <c r="AF18" i="13"/>
  <c r="AF12" i="13"/>
  <c r="AH27" i="15"/>
  <c r="AF19" i="13"/>
  <c r="AG27" i="15"/>
  <c r="AF15" i="13"/>
  <c r="AD27" i="13"/>
  <c r="AK8" i="13"/>
  <c r="R39" i="13"/>
  <c r="O10" i="9" s="1"/>
  <c r="O10" i="3"/>
  <c r="R37" i="13"/>
  <c r="O8" i="9" s="1"/>
  <c r="O8" i="3"/>
  <c r="R48" i="13"/>
  <c r="O19" i="9" s="1"/>
  <c r="O19" i="3"/>
  <c r="S35" i="13"/>
  <c r="P6" i="9" s="1"/>
  <c r="P6" i="3"/>
  <c r="S50" i="13"/>
  <c r="P21" i="9" s="1"/>
  <c r="P21" i="3"/>
  <c r="S54" i="13"/>
  <c r="P25" i="9" s="1"/>
  <c r="P25" i="3"/>
  <c r="R33" i="13"/>
  <c r="O4" i="9" s="1"/>
  <c r="O4" i="3"/>
  <c r="R44" i="13"/>
  <c r="O15" i="9" s="1"/>
  <c r="O15" i="3"/>
  <c r="S46" i="13"/>
  <c r="P17" i="9" s="1"/>
  <c r="P17" i="3"/>
  <c r="S52" i="13"/>
  <c r="P23" i="9" s="1"/>
  <c r="P23" i="3"/>
  <c r="R40" i="13"/>
  <c r="O11" i="9" s="1"/>
  <c r="O11" i="3"/>
  <c r="R34" i="13"/>
  <c r="O5" i="9" s="1"/>
  <c r="O5" i="3"/>
  <c r="S41" i="13"/>
  <c r="P12" i="9" s="1"/>
  <c r="P12" i="3"/>
  <c r="S42" i="13"/>
  <c r="P13" i="9" s="1"/>
  <c r="P13" i="3"/>
  <c r="R41" i="13"/>
  <c r="O12" i="9" s="1"/>
  <c r="O12" i="3"/>
  <c r="R50" i="13"/>
  <c r="O21" i="9" s="1"/>
  <c r="O21" i="3"/>
  <c r="S48" i="13"/>
  <c r="P19" i="9" s="1"/>
  <c r="P19" i="3"/>
  <c r="R36" i="13"/>
  <c r="O7" i="9" s="1"/>
  <c r="O7" i="3"/>
  <c r="S55" i="13"/>
  <c r="P26" i="9" s="1"/>
  <c r="P26" i="3"/>
  <c r="S33" i="13"/>
  <c r="P4" i="9" s="1"/>
  <c r="P4" i="3"/>
  <c r="S38" i="13"/>
  <c r="P9" i="9" s="1"/>
  <c r="P9" i="3"/>
  <c r="S34" i="13"/>
  <c r="P5" i="9" s="1"/>
  <c r="P5" i="3"/>
  <c r="R52" i="13"/>
  <c r="O23" i="9" s="1"/>
  <c r="O23" i="3"/>
  <c r="R53" i="13"/>
  <c r="O24" i="9" s="1"/>
  <c r="O24" i="3"/>
  <c r="S44" i="13"/>
  <c r="P15" i="9" s="1"/>
  <c r="P15" i="3"/>
  <c r="O3" i="3"/>
  <c r="R32" i="13"/>
  <c r="O3" i="9" s="1"/>
  <c r="S51" i="13"/>
  <c r="P22" i="9" s="1"/>
  <c r="P22" i="3"/>
  <c r="K27" i="13"/>
  <c r="F18" i="5" s="1"/>
  <c r="M18" i="5" s="1"/>
  <c r="R49" i="13"/>
  <c r="O20" i="9" s="1"/>
  <c r="O20" i="3"/>
  <c r="S40" i="13"/>
  <c r="P11" i="9" s="1"/>
  <c r="P11" i="3"/>
  <c r="S47" i="13"/>
  <c r="P18" i="9" s="1"/>
  <c r="P18" i="3"/>
  <c r="R45" i="13"/>
  <c r="O16" i="9" s="1"/>
  <c r="O16" i="3"/>
  <c r="S36" i="13"/>
  <c r="P7" i="9" s="1"/>
  <c r="P7" i="3"/>
  <c r="R42" i="13"/>
  <c r="O13" i="9" s="1"/>
  <c r="O13" i="3"/>
  <c r="S49" i="13"/>
  <c r="P20" i="9" s="1"/>
  <c r="P20" i="3"/>
  <c r="R47" i="13"/>
  <c r="O18" i="9" s="1"/>
  <c r="O18" i="3"/>
  <c r="S39" i="13"/>
  <c r="P10" i="9" s="1"/>
  <c r="P10" i="3"/>
  <c r="T4" i="13"/>
  <c r="AJ4" i="13" s="1"/>
  <c r="O4" i="13"/>
  <c r="T15" i="13"/>
  <c r="AJ15" i="13" s="1"/>
  <c r="O15" i="13"/>
  <c r="W22" i="12"/>
  <c r="J22" i="9"/>
  <c r="J22" i="3"/>
  <c r="T21" i="13"/>
  <c r="AJ21" i="13" s="1"/>
  <c r="O21" i="13"/>
  <c r="AP8" i="13"/>
  <c r="Z8" i="13"/>
  <c r="I23" i="9"/>
  <c r="I23" i="3"/>
  <c r="V23" i="12"/>
  <c r="J11" i="3"/>
  <c r="J11" i="9"/>
  <c r="W11" i="12"/>
  <c r="U17" i="13"/>
  <c r="AK17" i="13" s="1"/>
  <c r="P17" i="13"/>
  <c r="J26" i="9"/>
  <c r="U13" i="13"/>
  <c r="P13" i="13"/>
  <c r="D27" i="12"/>
  <c r="D3" i="15"/>
  <c r="AC32" i="15" s="1"/>
  <c r="D3" i="13"/>
  <c r="Q3" i="12"/>
  <c r="U19" i="13"/>
  <c r="AK19" i="13" s="1"/>
  <c r="P19" i="13"/>
  <c r="I10" i="3"/>
  <c r="V10" i="12"/>
  <c r="I10" i="9"/>
  <c r="T7" i="13"/>
  <c r="AJ7" i="13" s="1"/>
  <c r="O7" i="13"/>
  <c r="P26" i="13"/>
  <c r="U26" i="13"/>
  <c r="AK26" i="13" s="1"/>
  <c r="U4" i="13"/>
  <c r="AK4" i="13" s="1"/>
  <c r="P4" i="13"/>
  <c r="J23" i="9"/>
  <c r="W23" i="12"/>
  <c r="J23" i="3"/>
  <c r="U9" i="13"/>
  <c r="AK9" i="13" s="1"/>
  <c r="P9" i="13"/>
  <c r="AO26" i="13"/>
  <c r="Y26" i="13"/>
  <c r="U5" i="13"/>
  <c r="AK5" i="13" s="1"/>
  <c r="P5" i="13"/>
  <c r="J15" i="9"/>
  <c r="J15" i="3"/>
  <c r="W15" i="12"/>
  <c r="U12" i="13"/>
  <c r="P12" i="13"/>
  <c r="T24" i="13"/>
  <c r="AJ24" i="13" s="1"/>
  <c r="O24" i="13"/>
  <c r="U15" i="13"/>
  <c r="P15" i="13"/>
  <c r="V14" i="12"/>
  <c r="I14" i="9"/>
  <c r="I14" i="3"/>
  <c r="J4" i="3"/>
  <c r="J4" i="9"/>
  <c r="W4" i="12"/>
  <c r="P22" i="13"/>
  <c r="U22" i="13"/>
  <c r="AK22" i="13" s="1"/>
  <c r="T20" i="13"/>
  <c r="AJ20" i="13" s="1"/>
  <c r="O20" i="13"/>
  <c r="U11" i="13"/>
  <c r="AK11" i="13" s="1"/>
  <c r="P11" i="13"/>
  <c r="I18" i="3"/>
  <c r="V18" i="12"/>
  <c r="I18" i="9"/>
  <c r="J6" i="9"/>
  <c r="J6" i="3"/>
  <c r="W6" i="12"/>
  <c r="J20" i="3"/>
  <c r="J20" i="9"/>
  <c r="W20" i="12"/>
  <c r="P18" i="13"/>
  <c r="U18" i="13"/>
  <c r="AK18" i="13" s="1"/>
  <c r="I7" i="9"/>
  <c r="I7" i="3"/>
  <c r="V7" i="12"/>
  <c r="I24" i="9"/>
  <c r="I24" i="3"/>
  <c r="V24" i="12"/>
  <c r="I8" i="3"/>
  <c r="I8" i="9"/>
  <c r="V8" i="12"/>
  <c r="I6" i="9"/>
  <c r="I6" i="3"/>
  <c r="V6" i="12"/>
  <c r="O11" i="13"/>
  <c r="T11" i="13"/>
  <c r="AJ11" i="13" s="1"/>
  <c r="T3" i="13"/>
  <c r="O3" i="13"/>
  <c r="T16" i="13"/>
  <c r="AJ16" i="13" s="1"/>
  <c r="O16" i="13"/>
  <c r="P7" i="13"/>
  <c r="U7" i="13"/>
  <c r="AK7" i="13" s="1"/>
  <c r="I22" i="9"/>
  <c r="I22" i="3"/>
  <c r="V22" i="12"/>
  <c r="T13" i="13"/>
  <c r="AJ13" i="13" s="1"/>
  <c r="O13" i="13"/>
  <c r="J10" i="3"/>
  <c r="W10" i="12"/>
  <c r="J10" i="9"/>
  <c r="U20" i="13"/>
  <c r="AK20" i="13" s="1"/>
  <c r="P20" i="13"/>
  <c r="I11" i="9"/>
  <c r="I11" i="3"/>
  <c r="V11" i="12"/>
  <c r="O18" i="13"/>
  <c r="T18" i="13"/>
  <c r="AJ18" i="13" s="1"/>
  <c r="Y22" i="13"/>
  <c r="AO22" i="13"/>
  <c r="I16" i="9"/>
  <c r="I16" i="3"/>
  <c r="V16" i="12"/>
  <c r="T12" i="13"/>
  <c r="AJ12" i="13" s="1"/>
  <c r="O12" i="13"/>
  <c r="I26" i="3"/>
  <c r="V26" i="12"/>
  <c r="I26" i="9"/>
  <c r="O23" i="13"/>
  <c r="T23" i="13"/>
  <c r="AJ23" i="13" s="1"/>
  <c r="W14" i="12"/>
  <c r="J14" i="9"/>
  <c r="J14" i="3"/>
  <c r="AP16" i="13"/>
  <c r="Z16" i="13"/>
  <c r="P10" i="13"/>
  <c r="U10" i="13"/>
  <c r="I15" i="9"/>
  <c r="I15" i="3"/>
  <c r="V15" i="12"/>
  <c r="O10" i="13"/>
  <c r="T10" i="13"/>
  <c r="AJ10" i="13" s="1"/>
  <c r="J12" i="3"/>
  <c r="J12" i="9"/>
  <c r="W12" i="12"/>
  <c r="U25" i="13"/>
  <c r="AK25" i="13" s="1"/>
  <c r="P25" i="13"/>
  <c r="Y6" i="13"/>
  <c r="AO6" i="13"/>
  <c r="U23" i="13"/>
  <c r="AK23" i="13" s="1"/>
  <c r="P23" i="13"/>
  <c r="T5" i="13"/>
  <c r="AJ5" i="13" s="1"/>
  <c r="O5" i="13"/>
  <c r="T8" i="13"/>
  <c r="AJ8" i="13" s="1"/>
  <c r="O8" i="13"/>
  <c r="T19" i="13"/>
  <c r="AJ19" i="13" s="1"/>
  <c r="O19" i="13"/>
  <c r="J18" i="3"/>
  <c r="W18" i="12"/>
  <c r="J18" i="9"/>
  <c r="P6" i="13"/>
  <c r="U6" i="13"/>
  <c r="AK6" i="13" s="1"/>
  <c r="I19" i="9"/>
  <c r="I19" i="3"/>
  <c r="V19" i="12"/>
  <c r="C27" i="15"/>
  <c r="J7" i="9"/>
  <c r="J7" i="3"/>
  <c r="W7" i="12"/>
  <c r="U21" i="13"/>
  <c r="AK21" i="13" s="1"/>
  <c r="P21" i="13"/>
  <c r="Y14" i="13"/>
  <c r="AO14" i="13"/>
  <c r="E10" i="11"/>
  <c r="K10" i="11" s="1"/>
  <c r="E10" i="12"/>
  <c r="E18" i="11"/>
  <c r="K18" i="11" s="1"/>
  <c r="E18" i="12"/>
  <c r="E15" i="11"/>
  <c r="K15" i="11" s="1"/>
  <c r="E15" i="12"/>
  <c r="E23" i="11"/>
  <c r="K23" i="11" s="1"/>
  <c r="E23" i="12"/>
  <c r="E11" i="11"/>
  <c r="K11" i="11" s="1"/>
  <c r="E11" i="12"/>
  <c r="E12" i="11"/>
  <c r="K12" i="11" s="1"/>
  <c r="E12" i="12"/>
  <c r="E19" i="11"/>
  <c r="K19" i="11" s="1"/>
  <c r="E19" i="12"/>
  <c r="E7" i="11"/>
  <c r="K7" i="11" s="1"/>
  <c r="E7" i="12"/>
  <c r="E26" i="11"/>
  <c r="K26" i="11" s="1"/>
  <c r="E26" i="12"/>
  <c r="E20" i="11"/>
  <c r="K20" i="11" s="1"/>
  <c r="E20" i="12"/>
  <c r="Y4" i="2"/>
  <c r="Y12" i="2"/>
  <c r="Y20" i="2"/>
  <c r="Y6" i="2"/>
  <c r="Y14" i="2"/>
  <c r="Y22" i="2"/>
  <c r="Y7" i="2"/>
  <c r="Y15" i="2"/>
  <c r="Y23" i="2"/>
  <c r="Y8" i="2"/>
  <c r="Y16" i="2"/>
  <c r="Y24" i="2"/>
  <c r="Y5" i="2"/>
  <c r="Y9" i="2"/>
  <c r="Y17" i="2"/>
  <c r="Y25" i="2"/>
  <c r="Y13" i="2"/>
  <c r="Y10" i="2"/>
  <c r="Y18" i="2"/>
  <c r="Y26" i="2"/>
  <c r="Y11" i="2"/>
  <c r="Y19" i="2"/>
  <c r="Y21" i="2"/>
  <c r="B27" i="11"/>
  <c r="AG4" i="19" l="1"/>
  <c r="B27" i="9"/>
  <c r="C4" i="5" s="1"/>
  <c r="AP24" i="13"/>
  <c r="W26" i="12"/>
  <c r="D27" i="9"/>
  <c r="E4" i="5" s="1"/>
  <c r="C27" i="9"/>
  <c r="D4" i="5" s="1"/>
  <c r="U14" i="13"/>
  <c r="P14" i="13"/>
  <c r="Q8" i="11"/>
  <c r="P14" i="3"/>
  <c r="AU17" i="15"/>
  <c r="AV23" i="15"/>
  <c r="Q11" i="11"/>
  <c r="J26" i="3"/>
  <c r="AU13" i="15"/>
  <c r="W51" i="15"/>
  <c r="AC22" i="15" s="1"/>
  <c r="AC26" i="12"/>
  <c r="W55" i="15"/>
  <c r="AC26" i="15" s="1"/>
  <c r="W49" i="15"/>
  <c r="AC20" i="15" s="1"/>
  <c r="D26" i="19"/>
  <c r="AB26" i="19" s="1"/>
  <c r="D3" i="22"/>
  <c r="D3" i="19"/>
  <c r="AC3" i="12"/>
  <c r="Y13" i="15"/>
  <c r="T13" i="15"/>
  <c r="AC42" i="15"/>
  <c r="AA14" i="19"/>
  <c r="O14" i="19"/>
  <c r="AA10" i="22"/>
  <c r="O10" i="22"/>
  <c r="J9" i="3"/>
  <c r="D9" i="22"/>
  <c r="D9" i="19"/>
  <c r="AC9" i="12"/>
  <c r="W9" i="12"/>
  <c r="J9" i="9"/>
  <c r="AB6" i="19"/>
  <c r="P6" i="19"/>
  <c r="AA5" i="22"/>
  <c r="O5" i="22"/>
  <c r="AA8" i="22"/>
  <c r="O8" i="22"/>
  <c r="AB18" i="22"/>
  <c r="P18" i="22"/>
  <c r="AA7" i="19"/>
  <c r="O7" i="19"/>
  <c r="AB26" i="22"/>
  <c r="P26" i="22"/>
  <c r="AA22" i="19"/>
  <c r="O22" i="19"/>
  <c r="AA20" i="22"/>
  <c r="O20" i="22"/>
  <c r="AB11" i="22"/>
  <c r="P11" i="22"/>
  <c r="AU24" i="15"/>
  <c r="V17" i="12"/>
  <c r="C17" i="22"/>
  <c r="C17" i="19"/>
  <c r="AB17" i="12"/>
  <c r="I17" i="3"/>
  <c r="I17" i="9"/>
  <c r="AA14" i="22"/>
  <c r="O14" i="22"/>
  <c r="Q14" i="11"/>
  <c r="AA23" i="19"/>
  <c r="O23" i="19"/>
  <c r="AC38" i="15"/>
  <c r="T9" i="15"/>
  <c r="Y9" i="15"/>
  <c r="AB6" i="22"/>
  <c r="P6" i="22"/>
  <c r="AA12" i="19"/>
  <c r="O12" i="19"/>
  <c r="D23" i="22"/>
  <c r="D23" i="19"/>
  <c r="AC23" i="12"/>
  <c r="AA18" i="19"/>
  <c r="O18" i="19"/>
  <c r="W5" i="12"/>
  <c r="D5" i="22"/>
  <c r="D5" i="19"/>
  <c r="AC5" i="12"/>
  <c r="J5" i="3"/>
  <c r="J5" i="9"/>
  <c r="AB12" i="19"/>
  <c r="P12" i="19"/>
  <c r="AA7" i="22"/>
  <c r="O7" i="22"/>
  <c r="AB4" i="19"/>
  <c r="P4" i="19"/>
  <c r="AA22" i="22"/>
  <c r="O22" i="22"/>
  <c r="AA3" i="19"/>
  <c r="O3" i="19"/>
  <c r="O17" i="13"/>
  <c r="R46" i="13"/>
  <c r="O17" i="9" s="1"/>
  <c r="T17" i="13"/>
  <c r="AJ17" i="13" s="1"/>
  <c r="O17" i="3"/>
  <c r="AA23" i="22"/>
  <c r="O23" i="22"/>
  <c r="AA16" i="19"/>
  <c r="O16" i="19"/>
  <c r="AA12" i="22"/>
  <c r="O12" i="22"/>
  <c r="O27" i="11"/>
  <c r="D7" i="5" s="1"/>
  <c r="AR10" i="20" s="1"/>
  <c r="Q16" i="11"/>
  <c r="AA11" i="19"/>
  <c r="O11" i="19"/>
  <c r="AA18" i="22"/>
  <c r="O18" i="22"/>
  <c r="J17" i="3"/>
  <c r="D17" i="22"/>
  <c r="D17" i="19"/>
  <c r="AC17" i="12"/>
  <c r="J17" i="9"/>
  <c r="W17" i="12"/>
  <c r="Y5" i="15"/>
  <c r="AC34" i="15"/>
  <c r="T5" i="15"/>
  <c r="AB12" i="22"/>
  <c r="P12" i="22"/>
  <c r="AA26" i="19"/>
  <c r="O26" i="19"/>
  <c r="AB4" i="22"/>
  <c r="P4" i="22"/>
  <c r="AA3" i="22"/>
  <c r="O3" i="22"/>
  <c r="Q22" i="11"/>
  <c r="AB24" i="19"/>
  <c r="P24" i="19"/>
  <c r="J25" i="3"/>
  <c r="D25" i="22"/>
  <c r="D25" i="19"/>
  <c r="AC25" i="12"/>
  <c r="W25" i="12"/>
  <c r="J25" i="9"/>
  <c r="AA16" i="22"/>
  <c r="O16" i="22"/>
  <c r="AA6" i="19"/>
  <c r="O6" i="19"/>
  <c r="AA11" i="22"/>
  <c r="O11" i="22"/>
  <c r="AB8" i="19"/>
  <c r="P8" i="19"/>
  <c r="AC46" i="15"/>
  <c r="T17" i="15"/>
  <c r="Y17" i="15"/>
  <c r="AA26" i="22"/>
  <c r="O26" i="22"/>
  <c r="Q24" i="11"/>
  <c r="Q3" i="11"/>
  <c r="N27" i="11"/>
  <c r="AB24" i="22"/>
  <c r="P24" i="22"/>
  <c r="Y25" i="15"/>
  <c r="T25" i="15"/>
  <c r="AC54" i="15"/>
  <c r="AA21" i="19"/>
  <c r="O21" i="19"/>
  <c r="AB10" i="19"/>
  <c r="P10" i="19"/>
  <c r="AB16" i="19"/>
  <c r="P16" i="19"/>
  <c r="AA6" i="22"/>
  <c r="O6" i="22"/>
  <c r="P27" i="11"/>
  <c r="E7" i="5" s="1"/>
  <c r="AR11" i="20" s="1"/>
  <c r="W21" i="12"/>
  <c r="D21" i="22"/>
  <c r="D21" i="19"/>
  <c r="AC21" i="12"/>
  <c r="J21" i="3"/>
  <c r="J21" i="9"/>
  <c r="AB8" i="22"/>
  <c r="P8" i="22"/>
  <c r="AB15" i="19"/>
  <c r="P15" i="19"/>
  <c r="AB20" i="19"/>
  <c r="P20" i="19"/>
  <c r="AB22" i="19"/>
  <c r="P22" i="19"/>
  <c r="AA21" i="22"/>
  <c r="O21" i="22"/>
  <c r="AB10" i="22"/>
  <c r="P10" i="22"/>
  <c r="AB16" i="22"/>
  <c r="P16" i="22"/>
  <c r="AA19" i="19"/>
  <c r="O19" i="19"/>
  <c r="P27" i="12"/>
  <c r="Y21" i="15"/>
  <c r="AC50" i="15"/>
  <c r="T21" i="15"/>
  <c r="AB19" i="19"/>
  <c r="P19" i="19"/>
  <c r="AB15" i="22"/>
  <c r="P15" i="22"/>
  <c r="AB20" i="22"/>
  <c r="P20" i="22"/>
  <c r="AB22" i="22"/>
  <c r="P22" i="22"/>
  <c r="AA13" i="19"/>
  <c r="O13" i="19"/>
  <c r="D14" i="22"/>
  <c r="D14" i="19"/>
  <c r="AC14" i="12"/>
  <c r="AA24" i="19"/>
  <c r="O24" i="19"/>
  <c r="AA19" i="22"/>
  <c r="O19" i="22"/>
  <c r="O25" i="13"/>
  <c r="O25" i="3"/>
  <c r="R54" i="13"/>
  <c r="O25" i="9" s="1"/>
  <c r="T25" i="13"/>
  <c r="AJ25" i="13" s="1"/>
  <c r="AB7" i="19"/>
  <c r="P7" i="19"/>
  <c r="AB19" i="22"/>
  <c r="P19" i="22"/>
  <c r="V9" i="12"/>
  <c r="C9" i="22"/>
  <c r="C9" i="19"/>
  <c r="AB9" i="12"/>
  <c r="I9" i="3"/>
  <c r="I9" i="9"/>
  <c r="I27" i="9" s="1"/>
  <c r="K4" i="5" s="1"/>
  <c r="AA13" i="22"/>
  <c r="O13" i="22"/>
  <c r="AA15" i="19"/>
  <c r="O15" i="19"/>
  <c r="J13" i="9"/>
  <c r="D13" i="22"/>
  <c r="D13" i="19"/>
  <c r="AC13" i="12"/>
  <c r="W13" i="12"/>
  <c r="J13" i="3"/>
  <c r="AA24" i="22"/>
  <c r="O24" i="22"/>
  <c r="AA10" i="19"/>
  <c r="O10" i="19"/>
  <c r="V25" i="12"/>
  <c r="C25" i="22"/>
  <c r="C25" i="19"/>
  <c r="AB25" i="12"/>
  <c r="I25" i="3"/>
  <c r="I25" i="9"/>
  <c r="AA5" i="19"/>
  <c r="O5" i="19"/>
  <c r="AA8" i="19"/>
  <c r="O8" i="19"/>
  <c r="AB18" i="19"/>
  <c r="P18" i="19"/>
  <c r="AB7" i="22"/>
  <c r="P7" i="22"/>
  <c r="O9" i="13"/>
  <c r="R38" i="13"/>
  <c r="O9" i="9" s="1"/>
  <c r="O9" i="3"/>
  <c r="O27" i="3" s="1"/>
  <c r="T9" i="13"/>
  <c r="AJ9" i="13" s="1"/>
  <c r="AA20" i="19"/>
  <c r="O20" i="19"/>
  <c r="AB11" i="19"/>
  <c r="P11" i="19"/>
  <c r="AA15" i="22"/>
  <c r="O15" i="22"/>
  <c r="AU16" i="15"/>
  <c r="AU4" i="15"/>
  <c r="W43" i="15"/>
  <c r="AC14" i="15" s="1"/>
  <c r="AU23" i="15"/>
  <c r="AU12" i="15"/>
  <c r="AU25" i="15"/>
  <c r="AU21" i="15"/>
  <c r="X47" i="15"/>
  <c r="AD18" i="15" s="1"/>
  <c r="AV18" i="15"/>
  <c r="AU11" i="15"/>
  <c r="AU7" i="15"/>
  <c r="D22" i="5"/>
  <c r="K22" i="5" s="1"/>
  <c r="S27" i="15"/>
  <c r="W56" i="15" s="1"/>
  <c r="K16" i="5" s="1"/>
  <c r="AU8" i="15"/>
  <c r="W32" i="15"/>
  <c r="AC3" i="15" s="1"/>
  <c r="AU19" i="15"/>
  <c r="AB56" i="15"/>
  <c r="W34" i="15"/>
  <c r="AC5" i="15" s="1"/>
  <c r="W35" i="15"/>
  <c r="AC6" i="15" s="1"/>
  <c r="AU10" i="15"/>
  <c r="AU9" i="15"/>
  <c r="AU15" i="15"/>
  <c r="X27" i="15"/>
  <c r="AP3" i="15"/>
  <c r="AP27" i="15" s="1"/>
  <c r="K23" i="5" s="1"/>
  <c r="T3" i="15"/>
  <c r="AV3" i="15" s="1"/>
  <c r="Y3" i="15"/>
  <c r="D27" i="15"/>
  <c r="E12" i="9"/>
  <c r="E18" i="9"/>
  <c r="E20" i="9"/>
  <c r="E11" i="9"/>
  <c r="E19" i="9"/>
  <c r="E10" i="9"/>
  <c r="E15" i="9"/>
  <c r="E26" i="9"/>
  <c r="E23" i="9"/>
  <c r="AF27" i="13"/>
  <c r="F22" i="5" s="1"/>
  <c r="M22" i="5" s="1"/>
  <c r="AK10" i="13"/>
  <c r="AK12" i="13"/>
  <c r="AK14" i="13"/>
  <c r="AK15" i="13"/>
  <c r="AK13" i="13"/>
  <c r="P3" i="3"/>
  <c r="S32" i="13"/>
  <c r="Z6" i="13"/>
  <c r="AP6" i="13"/>
  <c r="Y5" i="13"/>
  <c r="AO5" i="13"/>
  <c r="AP20" i="13"/>
  <c r="Z20" i="13"/>
  <c r="Z18" i="13"/>
  <c r="AP18" i="13"/>
  <c r="Y7" i="13"/>
  <c r="AO7" i="13"/>
  <c r="D27" i="13"/>
  <c r="P3" i="13"/>
  <c r="U3" i="13"/>
  <c r="AP17" i="13"/>
  <c r="Z17" i="13"/>
  <c r="AP15" i="13"/>
  <c r="Z15" i="13"/>
  <c r="AP23" i="13"/>
  <c r="Z23" i="13"/>
  <c r="Z10" i="13"/>
  <c r="AP10" i="13"/>
  <c r="Y23" i="13"/>
  <c r="AO23" i="13"/>
  <c r="AO11" i="13"/>
  <c r="Y11" i="13"/>
  <c r="AP11" i="13"/>
  <c r="Z11" i="13"/>
  <c r="Z22" i="13"/>
  <c r="AP22" i="13"/>
  <c r="Z5" i="13"/>
  <c r="AP5" i="13"/>
  <c r="AO24" i="13"/>
  <c r="Y24" i="13"/>
  <c r="Z13" i="13"/>
  <c r="AP13" i="13"/>
  <c r="AO19" i="13"/>
  <c r="Y19" i="13"/>
  <c r="AO16" i="13"/>
  <c r="Y16" i="13"/>
  <c r="AO20" i="13"/>
  <c r="Y20" i="13"/>
  <c r="AP4" i="13"/>
  <c r="Z4" i="13"/>
  <c r="Y15" i="13"/>
  <c r="AO15" i="13"/>
  <c r="V27" i="12"/>
  <c r="K8" i="5" s="1"/>
  <c r="AS17" i="20" s="1"/>
  <c r="AO10" i="13"/>
  <c r="Y10" i="13"/>
  <c r="Y13" i="13"/>
  <c r="AO13" i="13"/>
  <c r="AP12" i="13"/>
  <c r="Z12" i="13"/>
  <c r="AP19" i="13"/>
  <c r="Z19" i="13"/>
  <c r="AP7" i="13"/>
  <c r="Z7" i="13"/>
  <c r="Z21" i="13"/>
  <c r="AP21" i="13"/>
  <c r="AO8" i="13"/>
  <c r="Y8" i="13"/>
  <c r="AO12" i="13"/>
  <c r="Y12" i="13"/>
  <c r="Y3" i="13"/>
  <c r="AO3" i="13"/>
  <c r="AO4" i="13"/>
  <c r="Y4" i="13"/>
  <c r="E27" i="12"/>
  <c r="AP25" i="13"/>
  <c r="Z25" i="13"/>
  <c r="Y18" i="13"/>
  <c r="AO18" i="13"/>
  <c r="Z14" i="13"/>
  <c r="AP14" i="13"/>
  <c r="AJ3" i="13"/>
  <c r="AP9" i="13"/>
  <c r="Z9" i="13"/>
  <c r="Z26" i="13"/>
  <c r="AP26" i="13"/>
  <c r="J3" i="9"/>
  <c r="J3" i="3"/>
  <c r="W3" i="12"/>
  <c r="Q27" i="12"/>
  <c r="Y21" i="13"/>
  <c r="AO21" i="13"/>
  <c r="E27" i="11"/>
  <c r="E7" i="9"/>
  <c r="T27" i="13" l="1"/>
  <c r="D15" i="5" s="1"/>
  <c r="K15" i="5" s="1"/>
  <c r="K19" i="5" s="1"/>
  <c r="C27" i="19"/>
  <c r="AB27" i="12"/>
  <c r="K7" i="5" s="1"/>
  <c r="AS10" i="20" s="1"/>
  <c r="P26" i="19"/>
  <c r="AH26" i="19" s="1"/>
  <c r="AJ27" i="13"/>
  <c r="D23" i="5" s="1"/>
  <c r="O27" i="13"/>
  <c r="D16" i="5" s="1"/>
  <c r="J27" i="3"/>
  <c r="R56" i="13"/>
  <c r="W27" i="12"/>
  <c r="L8" i="5" s="1"/>
  <c r="AS18" i="20" s="1"/>
  <c r="J27" i="9"/>
  <c r="L4" i="5" s="1"/>
  <c r="I27" i="3"/>
  <c r="AC56" i="15"/>
  <c r="AB13" i="19"/>
  <c r="P13" i="19"/>
  <c r="AH20" i="22"/>
  <c r="AN20" i="22"/>
  <c r="AM21" i="22"/>
  <c r="AG21" i="22"/>
  <c r="AN20" i="19"/>
  <c r="AH20" i="19"/>
  <c r="AH24" i="22"/>
  <c r="AN24" i="22"/>
  <c r="AV17" i="15"/>
  <c r="X46" i="15"/>
  <c r="AD17" i="15" s="1"/>
  <c r="AM16" i="22"/>
  <c r="AG16" i="22"/>
  <c r="AN24" i="19"/>
  <c r="AH24" i="19"/>
  <c r="AG11" i="19"/>
  <c r="AM11" i="19"/>
  <c r="AM23" i="22"/>
  <c r="AG23" i="22"/>
  <c r="AM3" i="19"/>
  <c r="AG3" i="19"/>
  <c r="AN6" i="22"/>
  <c r="AH6" i="22"/>
  <c r="AM14" i="22"/>
  <c r="AG14" i="22"/>
  <c r="AB9" i="19"/>
  <c r="P9" i="19"/>
  <c r="AV13" i="15"/>
  <c r="X42" i="15"/>
  <c r="AD13" i="15" s="1"/>
  <c r="AH11" i="19"/>
  <c r="AN11" i="19"/>
  <c r="AM5" i="19"/>
  <c r="AG5" i="19"/>
  <c r="AM10" i="19"/>
  <c r="AG10" i="19"/>
  <c r="AB13" i="22"/>
  <c r="P13" i="22"/>
  <c r="AB21" i="19"/>
  <c r="P21" i="19"/>
  <c r="AH10" i="19"/>
  <c r="AN10" i="19"/>
  <c r="AG26" i="19"/>
  <c r="AM26" i="19"/>
  <c r="AN12" i="19"/>
  <c r="AH12" i="19"/>
  <c r="AG18" i="19"/>
  <c r="AM18" i="19"/>
  <c r="AN26" i="22"/>
  <c r="AH26" i="22"/>
  <c r="AG5" i="22"/>
  <c r="AM5" i="22"/>
  <c r="AB9" i="22"/>
  <c r="P9" i="22"/>
  <c r="Y9" i="13"/>
  <c r="AO9" i="13"/>
  <c r="AA9" i="19"/>
  <c r="O9" i="19"/>
  <c r="AB14" i="19"/>
  <c r="P14" i="19"/>
  <c r="AH15" i="22"/>
  <c r="AN15" i="22"/>
  <c r="AG19" i="19"/>
  <c r="AM19" i="19"/>
  <c r="AH15" i="19"/>
  <c r="AN15" i="19"/>
  <c r="AB21" i="22"/>
  <c r="P21" i="22"/>
  <c r="Q27" i="11"/>
  <c r="F7" i="5" s="1"/>
  <c r="AR12" i="20" s="1"/>
  <c r="C7" i="5"/>
  <c r="AR9" i="20" s="1"/>
  <c r="AH8" i="19"/>
  <c r="AN8" i="19"/>
  <c r="AN11" i="22"/>
  <c r="AH11" i="22"/>
  <c r="AG20" i="19"/>
  <c r="AM20" i="19"/>
  <c r="AN7" i="22"/>
  <c r="AH7" i="22"/>
  <c r="AM24" i="22"/>
  <c r="AG24" i="22"/>
  <c r="AG15" i="19"/>
  <c r="AM15" i="19"/>
  <c r="AA9" i="22"/>
  <c r="AA27" i="22" s="1"/>
  <c r="O9" i="22"/>
  <c r="AB14" i="22"/>
  <c r="P14" i="22"/>
  <c r="AG21" i="19"/>
  <c r="AM21" i="19"/>
  <c r="AH12" i="22"/>
  <c r="AN12" i="22"/>
  <c r="AB17" i="19"/>
  <c r="P17" i="19"/>
  <c r="AG22" i="22"/>
  <c r="AM22" i="22"/>
  <c r="X38" i="15"/>
  <c r="AD9" i="15" s="1"/>
  <c r="AV9" i="15"/>
  <c r="AG7" i="19"/>
  <c r="AM7" i="19"/>
  <c r="AH6" i="19"/>
  <c r="AN6" i="19"/>
  <c r="AG10" i="22"/>
  <c r="AM10" i="22"/>
  <c r="AC27" i="12"/>
  <c r="L7" i="5" s="1"/>
  <c r="AS11" i="20" s="1"/>
  <c r="AO25" i="13"/>
  <c r="Y25" i="13"/>
  <c r="AG13" i="19"/>
  <c r="AM13" i="19"/>
  <c r="AH19" i="19"/>
  <c r="AN19" i="19"/>
  <c r="AN16" i="22"/>
  <c r="AH16" i="22"/>
  <c r="AH8" i="22"/>
  <c r="AN8" i="22"/>
  <c r="AM11" i="22"/>
  <c r="AG11" i="22"/>
  <c r="C27" i="22"/>
  <c r="AB17" i="22"/>
  <c r="P17" i="22"/>
  <c r="AG12" i="22"/>
  <c r="AM12" i="22"/>
  <c r="AB23" i="19"/>
  <c r="P23" i="19"/>
  <c r="AB3" i="19"/>
  <c r="P3" i="19"/>
  <c r="D27" i="19"/>
  <c r="AN18" i="19"/>
  <c r="AH18" i="19"/>
  <c r="AG13" i="22"/>
  <c r="AM13" i="22"/>
  <c r="AH19" i="22"/>
  <c r="AN19" i="22"/>
  <c r="AM19" i="22"/>
  <c r="AG19" i="22"/>
  <c r="AM6" i="22"/>
  <c r="AG6" i="22"/>
  <c r="AG26" i="22"/>
  <c r="AM26" i="22"/>
  <c r="AB25" i="19"/>
  <c r="P25" i="19"/>
  <c r="AG3" i="22"/>
  <c r="AM3" i="22"/>
  <c r="X34" i="15"/>
  <c r="AD5" i="15" s="1"/>
  <c r="AV5" i="15"/>
  <c r="AO17" i="13"/>
  <c r="Y17" i="13"/>
  <c r="AH4" i="19"/>
  <c r="AN4" i="19"/>
  <c r="AB23" i="22"/>
  <c r="P23" i="22"/>
  <c r="AM23" i="19"/>
  <c r="AG23" i="19"/>
  <c r="AA17" i="19"/>
  <c r="O17" i="19"/>
  <c r="AG20" i="22"/>
  <c r="AM20" i="22"/>
  <c r="AH18" i="22"/>
  <c r="AN18" i="22"/>
  <c r="AG14" i="19"/>
  <c r="AM14" i="19"/>
  <c r="AB3" i="22"/>
  <c r="D27" i="22"/>
  <c r="P3" i="22"/>
  <c r="AA25" i="19"/>
  <c r="O25" i="19"/>
  <c r="AN22" i="22"/>
  <c r="AH22" i="22"/>
  <c r="AV21" i="15"/>
  <c r="X50" i="15"/>
  <c r="AD21" i="15" s="1"/>
  <c r="AN10" i="22"/>
  <c r="AH10" i="22"/>
  <c r="AH22" i="19"/>
  <c r="AN22" i="19"/>
  <c r="X54" i="15"/>
  <c r="AD25" i="15" s="1"/>
  <c r="AV25" i="15"/>
  <c r="AG6" i="19"/>
  <c r="AM6" i="19"/>
  <c r="AB25" i="22"/>
  <c r="P25" i="22"/>
  <c r="AM18" i="22"/>
  <c r="AG18" i="22"/>
  <c r="AG16" i="19"/>
  <c r="AM16" i="19"/>
  <c r="AB5" i="19"/>
  <c r="P5" i="19"/>
  <c r="AG12" i="19"/>
  <c r="AM12" i="19"/>
  <c r="AA17" i="22"/>
  <c r="O17" i="22"/>
  <c r="AM15" i="22"/>
  <c r="AG15" i="22"/>
  <c r="AG8" i="19"/>
  <c r="AM8" i="19"/>
  <c r="AA25" i="22"/>
  <c r="O25" i="22"/>
  <c r="AH7" i="19"/>
  <c r="AN7" i="19"/>
  <c r="AM24" i="19"/>
  <c r="AG24" i="19"/>
  <c r="AN16" i="19"/>
  <c r="AH16" i="19"/>
  <c r="AN4" i="22"/>
  <c r="AH4" i="22"/>
  <c r="AM7" i="22"/>
  <c r="AG7" i="22"/>
  <c r="AB5" i="22"/>
  <c r="P5" i="22"/>
  <c r="AM22" i="19"/>
  <c r="AG22" i="19"/>
  <c r="AG8" i="22"/>
  <c r="AM8" i="22"/>
  <c r="AU27" i="15"/>
  <c r="K17" i="5" s="1"/>
  <c r="AU10" i="20" s="1"/>
  <c r="S56" i="13"/>
  <c r="P3" i="9"/>
  <c r="P27" i="9" s="1"/>
  <c r="E13" i="5" s="1"/>
  <c r="L13" i="5" s="1"/>
  <c r="AU3" i="20"/>
  <c r="AT3" i="20"/>
  <c r="AC27" i="15"/>
  <c r="K21" i="5" s="1"/>
  <c r="X32" i="15"/>
  <c r="AD3" i="15" s="1"/>
  <c r="T27" i="15"/>
  <c r="X56" i="15" s="1"/>
  <c r="L16" i="5" s="1"/>
  <c r="E27" i="9"/>
  <c r="F4" i="5" s="1"/>
  <c r="K27" i="11"/>
  <c r="P27" i="3"/>
  <c r="D19" i="5"/>
  <c r="O27" i="9"/>
  <c r="D13" i="5" s="1"/>
  <c r="K13" i="5" s="1"/>
  <c r="AO27" i="13"/>
  <c r="D17" i="5" s="1"/>
  <c r="AT10" i="20" s="1"/>
  <c r="AK3" i="13"/>
  <c r="AK27" i="13" s="1"/>
  <c r="E23" i="5" s="1"/>
  <c r="U27" i="13"/>
  <c r="AP3" i="13"/>
  <c r="AP27" i="13" s="1"/>
  <c r="E17" i="5" s="1"/>
  <c r="AT11" i="20" s="1"/>
  <c r="Z3" i="13"/>
  <c r="Z27" i="13" s="1"/>
  <c r="E21" i="5" s="1"/>
  <c r="P27" i="13"/>
  <c r="E16" i="5" s="1"/>
  <c r="D59" i="2"/>
  <c r="D58" i="2"/>
  <c r="D56" i="2"/>
  <c r="D55" i="2"/>
  <c r="D49" i="2"/>
  <c r="AN26" i="19" l="1"/>
  <c r="Y27" i="13"/>
  <c r="D21" i="5" s="1"/>
  <c r="D24" i="5" s="1"/>
  <c r="AT17" i="20" s="1"/>
  <c r="O27" i="19"/>
  <c r="AA27" i="19"/>
  <c r="AB27" i="19"/>
  <c r="AN3" i="22"/>
  <c r="AH3" i="22"/>
  <c r="P27" i="22"/>
  <c r="AN25" i="19"/>
  <c r="AH25" i="19"/>
  <c r="AH5" i="22"/>
  <c r="AN5" i="22"/>
  <c r="AG17" i="19"/>
  <c r="AM17" i="19"/>
  <c r="AH3" i="19"/>
  <c r="AN3" i="19"/>
  <c r="P27" i="19"/>
  <c r="AH17" i="19"/>
  <c r="AN17" i="19"/>
  <c r="AM9" i="22"/>
  <c r="AG9" i="22"/>
  <c r="AH9" i="22"/>
  <c r="AN9" i="22"/>
  <c r="AH13" i="22"/>
  <c r="AN13" i="22"/>
  <c r="AB27" i="22"/>
  <c r="AM17" i="22"/>
  <c r="AG17" i="22"/>
  <c r="AN23" i="19"/>
  <c r="AH23" i="19"/>
  <c r="AN21" i="22"/>
  <c r="AH21" i="22"/>
  <c r="AN14" i="19"/>
  <c r="AH14" i="19"/>
  <c r="AH9" i="19"/>
  <c r="AN9" i="19"/>
  <c r="AG25" i="19"/>
  <c r="AM25" i="19"/>
  <c r="AM25" i="22"/>
  <c r="AG25" i="22"/>
  <c r="AN23" i="22"/>
  <c r="AH23" i="22"/>
  <c r="O27" i="22"/>
  <c r="AG9" i="19"/>
  <c r="AM9" i="19"/>
  <c r="AN25" i="22"/>
  <c r="AH25" i="22"/>
  <c r="AH13" i="19"/>
  <c r="AN13" i="19"/>
  <c r="AN5" i="19"/>
  <c r="AH5" i="19"/>
  <c r="AH17" i="22"/>
  <c r="AN17" i="22"/>
  <c r="AN14" i="22"/>
  <c r="AH14" i="22"/>
  <c r="AN21" i="19"/>
  <c r="AH21" i="19"/>
  <c r="AU4" i="20"/>
  <c r="AT4" i="20"/>
  <c r="S9" i="5"/>
  <c r="S10" i="5" s="1"/>
  <c r="E15" i="5"/>
  <c r="L15" i="5" s="1"/>
  <c r="L19" i="5" s="1"/>
  <c r="E24" i="5"/>
  <c r="AT18" i="20" s="1"/>
  <c r="Y3" i="2"/>
  <c r="D52" i="2"/>
  <c r="D51" i="2"/>
  <c r="D42" i="2"/>
  <c r="D46" i="2" s="1"/>
  <c r="D54" i="2"/>
  <c r="D53" i="2"/>
  <c r="D50" i="2"/>
  <c r="D48" i="2"/>
  <c r="AM27" i="19" l="1"/>
  <c r="AN27" i="19"/>
  <c r="AH27" i="19"/>
  <c r="AG27" i="19"/>
  <c r="AG27" i="22"/>
  <c r="O40" i="22" s="1"/>
  <c r="AM27" i="22"/>
  <c r="O42" i="22" s="1"/>
  <c r="AH27" i="22"/>
  <c r="P40" i="22" s="1"/>
  <c r="AN27" i="22"/>
  <c r="P42" i="22" s="1"/>
  <c r="R9" i="5"/>
  <c r="R10" i="5" s="1"/>
  <c r="E19" i="5"/>
  <c r="T9" i="2"/>
  <c r="T24" i="2"/>
  <c r="T14" i="2"/>
  <c r="T23" i="2"/>
  <c r="T15" i="2"/>
  <c r="T21" i="2"/>
  <c r="T6" i="2"/>
  <c r="T4" i="2"/>
  <c r="T11" i="2"/>
  <c r="T19" i="2"/>
  <c r="T25" i="2"/>
  <c r="T17" i="2"/>
  <c r="T13" i="2"/>
  <c r="T26" i="2"/>
  <c r="T16" i="2"/>
  <c r="T5" i="2"/>
  <c r="T18" i="2"/>
  <c r="T8" i="2"/>
  <c r="T20" i="2"/>
  <c r="T10" i="2"/>
  <c r="T22" i="2"/>
  <c r="T12" i="2"/>
  <c r="T7" i="2"/>
  <c r="O4" i="2"/>
  <c r="O12" i="2"/>
  <c r="O20" i="2"/>
  <c r="O18" i="2"/>
  <c r="O5" i="2"/>
  <c r="O13" i="2"/>
  <c r="O21" i="2"/>
  <c r="O3" i="2"/>
  <c r="O6" i="2"/>
  <c r="O14" i="2"/>
  <c r="O22" i="2"/>
  <c r="O10" i="2"/>
  <c r="O26" i="2"/>
  <c r="O11" i="2"/>
  <c r="O7" i="2"/>
  <c r="O15" i="2"/>
  <c r="O23" i="2"/>
  <c r="O8" i="2"/>
  <c r="O16" i="2"/>
  <c r="O24" i="2"/>
  <c r="O9" i="2"/>
  <c r="O17" i="2"/>
  <c r="O25" i="2"/>
  <c r="O19" i="2"/>
  <c r="T3" i="2"/>
  <c r="D47" i="2"/>
  <c r="Q5" i="2" s="1"/>
  <c r="D43" i="2"/>
  <c r="O32" i="19" l="1"/>
  <c r="O35" i="19" s="1"/>
  <c r="P32" i="19"/>
  <c r="P35" i="19" s="1"/>
  <c r="O43" i="22"/>
  <c r="O32" i="22"/>
  <c r="O35" i="22" s="1"/>
  <c r="P43" i="22"/>
  <c r="P32" i="22"/>
  <c r="P35" i="22" s="1"/>
  <c r="R14" i="5"/>
  <c r="R15" i="5" s="1"/>
  <c r="K24" i="5"/>
  <c r="AU17" i="20" s="1"/>
  <c r="S20" i="2"/>
  <c r="N11" i="2"/>
  <c r="N4" i="2"/>
  <c r="N12" i="2"/>
  <c r="W12" i="2" s="1"/>
  <c r="X12" i="2" s="1"/>
  <c r="I12" i="12" s="1"/>
  <c r="N20" i="2"/>
  <c r="N10" i="2"/>
  <c r="N5" i="2"/>
  <c r="N13" i="2"/>
  <c r="W13" i="2" s="1"/>
  <c r="X13" i="2" s="1"/>
  <c r="I13" i="12" s="1"/>
  <c r="N21" i="2"/>
  <c r="N6" i="2"/>
  <c r="N14" i="2"/>
  <c r="W14" i="2" s="1"/>
  <c r="X14" i="2" s="1"/>
  <c r="I14" i="12" s="1"/>
  <c r="N22" i="2"/>
  <c r="N18" i="2"/>
  <c r="N7" i="2"/>
  <c r="N15" i="2"/>
  <c r="N23" i="2"/>
  <c r="N26" i="2"/>
  <c r="N19" i="2"/>
  <c r="N8" i="2"/>
  <c r="N16" i="2"/>
  <c r="N24" i="2"/>
  <c r="N9" i="2"/>
  <c r="N17" i="2"/>
  <c r="N25" i="2"/>
  <c r="N3" i="2"/>
  <c r="R11" i="2"/>
  <c r="R16" i="2"/>
  <c r="R6" i="2"/>
  <c r="R25" i="2"/>
  <c r="R20" i="2"/>
  <c r="S12" i="2"/>
  <c r="S11" i="2"/>
  <c r="R9" i="2"/>
  <c r="S6" i="2"/>
  <c r="Q19" i="2"/>
  <c r="Q9" i="2"/>
  <c r="R15" i="2"/>
  <c r="S17" i="2"/>
  <c r="S18" i="2"/>
  <c r="Q15" i="2"/>
  <c r="R18" i="2"/>
  <c r="Q11" i="2"/>
  <c r="S21" i="2"/>
  <c r="R12" i="2"/>
  <c r="S15" i="2"/>
  <c r="S5" i="2"/>
  <c r="S24" i="2"/>
  <c r="Q24" i="2"/>
  <c r="S3" i="2"/>
  <c r="Q12" i="2"/>
  <c r="Q18" i="2"/>
  <c r="S16" i="2"/>
  <c r="Q20" i="2"/>
  <c r="S7" i="2"/>
  <c r="S22" i="2"/>
  <c r="Q7" i="2"/>
  <c r="Q22" i="2"/>
  <c r="S4" i="2"/>
  <c r="S10" i="2"/>
  <c r="Q10" i="2"/>
  <c r="S8" i="2"/>
  <c r="S26" i="2"/>
  <c r="R24" i="2"/>
  <c r="S14" i="2"/>
  <c r="Q4" i="2"/>
  <c r="Q14" i="2"/>
  <c r="R21" i="2"/>
  <c r="Q6" i="2"/>
  <c r="R13" i="2"/>
  <c r="S25" i="2"/>
  <c r="R3" i="2"/>
  <c r="R17" i="2"/>
  <c r="R19" i="2"/>
  <c r="R8" i="2"/>
  <c r="R23" i="2"/>
  <c r="S13" i="2"/>
  <c r="S19" i="2"/>
  <c r="R5" i="2"/>
  <c r="Q21" i="2"/>
  <c r="S9" i="2"/>
  <c r="Q3" i="2"/>
  <c r="Q25" i="2"/>
  <c r="R10" i="2"/>
  <c r="Q16" i="2"/>
  <c r="R7" i="2"/>
  <c r="R22" i="2"/>
  <c r="R4" i="2"/>
  <c r="Q13" i="2"/>
  <c r="R26" i="2"/>
  <c r="Q26" i="2"/>
  <c r="Q17" i="2"/>
  <c r="S23" i="2"/>
  <c r="Q8" i="2"/>
  <c r="Q23" i="2"/>
  <c r="R14" i="2"/>
  <c r="D44" i="2"/>
  <c r="D45" i="2"/>
  <c r="W10" i="2" l="1"/>
  <c r="X10" i="2" s="1"/>
  <c r="I10" i="12" s="1"/>
  <c r="W11" i="2"/>
  <c r="X11" i="2" s="1"/>
  <c r="I11" i="12" s="1"/>
  <c r="D13" i="21" s="1"/>
  <c r="D15" i="21"/>
  <c r="G15" i="21" s="1"/>
  <c r="H15" i="21" s="1"/>
  <c r="I15" i="21" s="1"/>
  <c r="L13" i="12"/>
  <c r="D12" i="21"/>
  <c r="D14" i="21"/>
  <c r="G14" i="21" s="1"/>
  <c r="H14" i="21" s="1"/>
  <c r="I14" i="21" s="1"/>
  <c r="L12" i="12"/>
  <c r="D16" i="21"/>
  <c r="G16" i="21" s="1"/>
  <c r="H16" i="21" s="1"/>
  <c r="I16" i="21" s="1"/>
  <c r="L14" i="12"/>
  <c r="P4" i="2"/>
  <c r="P12" i="2"/>
  <c r="P20" i="2"/>
  <c r="W20" i="2" s="1"/>
  <c r="X20" i="2" s="1"/>
  <c r="I20" i="12" s="1"/>
  <c r="P7" i="2"/>
  <c r="P15" i="2"/>
  <c r="W15" i="2" s="1"/>
  <c r="X15" i="2" s="1"/>
  <c r="I15" i="12" s="1"/>
  <c r="P23" i="2"/>
  <c r="W23" i="2" s="1"/>
  <c r="X23" i="2" s="1"/>
  <c r="I23" i="12" s="1"/>
  <c r="P19" i="2"/>
  <c r="W19" i="2" s="1"/>
  <c r="X19" i="2" s="1"/>
  <c r="I19" i="12" s="1"/>
  <c r="P24" i="2"/>
  <c r="W24" i="2" s="1"/>
  <c r="X24" i="2" s="1"/>
  <c r="I24" i="12" s="1"/>
  <c r="P11" i="2"/>
  <c r="U11" i="2" s="1"/>
  <c r="V11" i="2" s="1"/>
  <c r="H11" i="12" s="1"/>
  <c r="P16" i="2"/>
  <c r="W16" i="2" s="1"/>
  <c r="X16" i="2" s="1"/>
  <c r="I16" i="12" s="1"/>
  <c r="P26" i="2"/>
  <c r="W26" i="2" s="1"/>
  <c r="X26" i="2" s="1"/>
  <c r="I26" i="12" s="1"/>
  <c r="P8" i="2"/>
  <c r="P25" i="2"/>
  <c r="W25" i="2" s="1"/>
  <c r="X25" i="2" s="1"/>
  <c r="I25" i="12" s="1"/>
  <c r="P17" i="2"/>
  <c r="W17" i="2" s="1"/>
  <c r="X17" i="2" s="1"/>
  <c r="I17" i="12" s="1"/>
  <c r="P3" i="2"/>
  <c r="P13" i="2"/>
  <c r="P18" i="2"/>
  <c r="W18" i="2" s="1"/>
  <c r="X18" i="2" s="1"/>
  <c r="I18" i="12" s="1"/>
  <c r="P22" i="2"/>
  <c r="W22" i="2" s="1"/>
  <c r="X22" i="2" s="1"/>
  <c r="I22" i="12" s="1"/>
  <c r="P10" i="2"/>
  <c r="U10" i="2" s="1"/>
  <c r="V10" i="2" s="1"/>
  <c r="H10" i="12" s="1"/>
  <c r="P14" i="2"/>
  <c r="P6" i="2"/>
  <c r="P5" i="2"/>
  <c r="P21" i="2"/>
  <c r="W21" i="2" s="1"/>
  <c r="X21" i="2" s="1"/>
  <c r="I21" i="12" s="1"/>
  <c r="P9" i="2"/>
  <c r="D30" i="2"/>
  <c r="D31" i="2"/>
  <c r="D32" i="2"/>
  <c r="D33" i="2"/>
  <c r="D34" i="2"/>
  <c r="D35" i="2"/>
  <c r="D36" i="2"/>
  <c r="D37" i="2"/>
  <c r="D38" i="2"/>
  <c r="D39" i="2"/>
  <c r="C12" i="21" l="1"/>
  <c r="L10" i="12"/>
  <c r="B10" i="13" s="1"/>
  <c r="C13" i="21"/>
  <c r="L11" i="12"/>
  <c r="B11" i="13" s="1"/>
  <c r="G12" i="21"/>
  <c r="H12" i="21" s="1"/>
  <c r="I12" i="21" s="1"/>
  <c r="G13" i="21"/>
  <c r="H13" i="21" s="1"/>
  <c r="I13" i="21" s="1"/>
  <c r="B12" i="15"/>
  <c r="B12" i="13"/>
  <c r="O12" i="12"/>
  <c r="B14" i="15"/>
  <c r="B14" i="13"/>
  <c r="O14" i="12"/>
  <c r="B13" i="15"/>
  <c r="O13" i="12"/>
  <c r="B13" i="13"/>
  <c r="D22" i="21"/>
  <c r="G22" i="21" s="1"/>
  <c r="H22" i="21" s="1"/>
  <c r="I22" i="21" s="1"/>
  <c r="L20" i="12"/>
  <c r="L16" i="12"/>
  <c r="D18" i="21"/>
  <c r="G18" i="21" s="1"/>
  <c r="H18" i="21" s="1"/>
  <c r="I18" i="21" s="1"/>
  <c r="D20" i="21"/>
  <c r="G20" i="21" s="1"/>
  <c r="H20" i="21" s="1"/>
  <c r="I20" i="21" s="1"/>
  <c r="L18" i="12"/>
  <c r="D21" i="21"/>
  <c r="G21" i="21" s="1"/>
  <c r="H21" i="21" s="1"/>
  <c r="I21" i="21" s="1"/>
  <c r="L19" i="12"/>
  <c r="D19" i="21"/>
  <c r="G19" i="21" s="1"/>
  <c r="H19" i="21" s="1"/>
  <c r="I19" i="21" s="1"/>
  <c r="L17" i="12"/>
  <c r="D17" i="21"/>
  <c r="G17" i="21" s="1"/>
  <c r="H17" i="21" s="1"/>
  <c r="I17" i="21" s="1"/>
  <c r="L15" i="12"/>
  <c r="D23" i="21"/>
  <c r="G23" i="21" s="1"/>
  <c r="H23" i="21" s="1"/>
  <c r="I23" i="21" s="1"/>
  <c r="L21" i="12"/>
  <c r="D28" i="21"/>
  <c r="G28" i="21" s="1"/>
  <c r="H28" i="21" s="1"/>
  <c r="I28" i="21" s="1"/>
  <c r="L26" i="12"/>
  <c r="U3" i="2"/>
  <c r="V3" i="2" s="1"/>
  <c r="H3" i="12" s="1"/>
  <c r="C5" i="21" s="1"/>
  <c r="W3" i="2"/>
  <c r="X3" i="2" s="1"/>
  <c r="D24" i="21"/>
  <c r="G24" i="21" s="1"/>
  <c r="H24" i="21" s="1"/>
  <c r="I24" i="21" s="1"/>
  <c r="L22" i="12"/>
  <c r="U4" i="2"/>
  <c r="V4" i="2" s="1"/>
  <c r="H4" i="12" s="1"/>
  <c r="W4" i="2"/>
  <c r="X4" i="2" s="1"/>
  <c r="I4" i="12" s="1"/>
  <c r="D6" i="21" s="1"/>
  <c r="U5" i="2"/>
  <c r="V5" i="2" s="1"/>
  <c r="H5" i="12" s="1"/>
  <c r="C7" i="21" s="1"/>
  <c r="W5" i="2"/>
  <c r="X5" i="2" s="1"/>
  <c r="I5" i="12" s="1"/>
  <c r="D7" i="21" s="1"/>
  <c r="U9" i="2"/>
  <c r="V9" i="2" s="1"/>
  <c r="H9" i="12" s="1"/>
  <c r="W9" i="2"/>
  <c r="X9" i="2" s="1"/>
  <c r="I9" i="12" s="1"/>
  <c r="D11" i="21" s="1"/>
  <c r="D26" i="21"/>
  <c r="G26" i="21" s="1"/>
  <c r="H26" i="21" s="1"/>
  <c r="I26" i="21" s="1"/>
  <c r="L24" i="12"/>
  <c r="D27" i="21"/>
  <c r="G27" i="21" s="1"/>
  <c r="H27" i="21" s="1"/>
  <c r="I27" i="21" s="1"/>
  <c r="L25" i="12"/>
  <c r="D25" i="21"/>
  <c r="G25" i="21" s="1"/>
  <c r="H25" i="21" s="1"/>
  <c r="I25" i="21" s="1"/>
  <c r="L23" i="12"/>
  <c r="U6" i="2"/>
  <c r="V6" i="2" s="1"/>
  <c r="H6" i="12" s="1"/>
  <c r="C8" i="21" s="1"/>
  <c r="W6" i="2"/>
  <c r="X6" i="2" s="1"/>
  <c r="I6" i="12" s="1"/>
  <c r="D8" i="21" s="1"/>
  <c r="U8" i="2"/>
  <c r="V8" i="2" s="1"/>
  <c r="H8" i="12" s="1"/>
  <c r="C10" i="21" s="1"/>
  <c r="W8" i="2"/>
  <c r="X8" i="2" s="1"/>
  <c r="I8" i="12" s="1"/>
  <c r="D10" i="21" s="1"/>
  <c r="U7" i="2"/>
  <c r="V7" i="2" s="1"/>
  <c r="H7" i="12" s="1"/>
  <c r="C9" i="21" s="1"/>
  <c r="W7" i="2"/>
  <c r="X7" i="2" s="1"/>
  <c r="I7" i="12" s="1"/>
  <c r="D9" i="21" s="1"/>
  <c r="J27" i="11"/>
  <c r="E8" i="5" s="1"/>
  <c r="AR18" i="20" s="1"/>
  <c r="L5" i="5"/>
  <c r="K5" i="5"/>
  <c r="F33" i="2"/>
  <c r="F31" i="2"/>
  <c r="F32" i="2"/>
  <c r="F30" i="2"/>
  <c r="B11" i="15" l="1"/>
  <c r="B10" i="15"/>
  <c r="O10" i="12"/>
  <c r="O11" i="12"/>
  <c r="L4" i="12"/>
  <c r="B4" i="15" s="1"/>
  <c r="AA33" i="15" s="1"/>
  <c r="G8" i="21"/>
  <c r="H8" i="21" s="1"/>
  <c r="I8" i="21" s="1"/>
  <c r="N13" i="13"/>
  <c r="E13" i="13"/>
  <c r="S13" i="13"/>
  <c r="AI13" i="13" s="1"/>
  <c r="N13" i="3"/>
  <c r="Q13" i="3" s="1"/>
  <c r="Q42" i="13"/>
  <c r="N10" i="3"/>
  <c r="Q10" i="3" s="1"/>
  <c r="N10" i="13"/>
  <c r="Q39" i="13"/>
  <c r="E10" i="13"/>
  <c r="S10" i="13"/>
  <c r="AI10" i="13" s="1"/>
  <c r="L9" i="12"/>
  <c r="B9" i="15" s="1"/>
  <c r="AA38" i="15" s="1"/>
  <c r="B10" i="22"/>
  <c r="R10" i="12"/>
  <c r="H10" i="9"/>
  <c r="H10" i="3"/>
  <c r="K10" i="3" s="1"/>
  <c r="B10" i="19"/>
  <c r="U10" i="12"/>
  <c r="AA10" i="12"/>
  <c r="AD10" i="12" s="1"/>
  <c r="B13" i="22"/>
  <c r="H13" i="9"/>
  <c r="AA13" i="12"/>
  <c r="AD13" i="12" s="1"/>
  <c r="H13" i="3"/>
  <c r="K13" i="3" s="1"/>
  <c r="R13" i="12"/>
  <c r="U13" i="12"/>
  <c r="B13" i="19"/>
  <c r="B12" i="22"/>
  <c r="H12" i="3"/>
  <c r="K12" i="3" s="1"/>
  <c r="AA12" i="12"/>
  <c r="AD12" i="12" s="1"/>
  <c r="B12" i="19"/>
  <c r="H12" i="9"/>
  <c r="R12" i="12"/>
  <c r="U12" i="12"/>
  <c r="AA42" i="15"/>
  <c r="N13" i="15"/>
  <c r="E13" i="15"/>
  <c r="R13" i="15"/>
  <c r="S12" i="13"/>
  <c r="AI12" i="13" s="1"/>
  <c r="N12" i="13"/>
  <c r="Q41" i="13"/>
  <c r="E12" i="13"/>
  <c r="N12" i="3"/>
  <c r="Q12" i="3" s="1"/>
  <c r="S14" i="13"/>
  <c r="AI14" i="13" s="1"/>
  <c r="E14" i="13"/>
  <c r="Q43" i="13"/>
  <c r="N14" i="13"/>
  <c r="N14" i="3"/>
  <c r="Q14" i="3" s="1"/>
  <c r="S11" i="13"/>
  <c r="AI11" i="13" s="1"/>
  <c r="N11" i="3"/>
  <c r="Q11" i="3" s="1"/>
  <c r="N11" i="13"/>
  <c r="Q40" i="13"/>
  <c r="E11" i="13"/>
  <c r="B14" i="22"/>
  <c r="R14" i="12"/>
  <c r="H14" i="3"/>
  <c r="K14" i="3" s="1"/>
  <c r="U14" i="12"/>
  <c r="AA14" i="12"/>
  <c r="AD14" i="12" s="1"/>
  <c r="H14" i="9"/>
  <c r="B14" i="19"/>
  <c r="AA41" i="15"/>
  <c r="N12" i="15"/>
  <c r="E12" i="15"/>
  <c r="R12" i="15"/>
  <c r="R14" i="15"/>
  <c r="E14" i="15"/>
  <c r="N14" i="15"/>
  <c r="AA43" i="15"/>
  <c r="AA40" i="15"/>
  <c r="E11" i="15"/>
  <c r="N11" i="15"/>
  <c r="R11" i="15"/>
  <c r="AA39" i="15"/>
  <c r="E10" i="15"/>
  <c r="N10" i="15"/>
  <c r="R10" i="15"/>
  <c r="B11" i="22"/>
  <c r="B11" i="19"/>
  <c r="R11" i="12"/>
  <c r="H11" i="3"/>
  <c r="K11" i="3" s="1"/>
  <c r="U11" i="12"/>
  <c r="AA11" i="12"/>
  <c r="AD11" i="12" s="1"/>
  <c r="H11" i="9"/>
  <c r="B19" i="13"/>
  <c r="O19" i="12"/>
  <c r="B19" i="15"/>
  <c r="O21" i="12"/>
  <c r="B21" i="15"/>
  <c r="B21" i="13"/>
  <c r="O18" i="12"/>
  <c r="B18" i="15"/>
  <c r="B18" i="13"/>
  <c r="O15" i="12"/>
  <c r="B15" i="13"/>
  <c r="B15" i="15"/>
  <c r="O16" i="12"/>
  <c r="B16" i="15"/>
  <c r="B16" i="13"/>
  <c r="B17" i="15"/>
  <c r="B17" i="13"/>
  <c r="O17" i="12"/>
  <c r="B20" i="13"/>
  <c r="O20" i="12"/>
  <c r="B20" i="15"/>
  <c r="C6" i="21"/>
  <c r="G6" i="21" s="1"/>
  <c r="H6" i="21" s="1"/>
  <c r="I6" i="21" s="1"/>
  <c r="G10" i="21"/>
  <c r="H10" i="21" s="1"/>
  <c r="I10" i="21" s="1"/>
  <c r="C11" i="21"/>
  <c r="G11" i="21" s="1"/>
  <c r="H11" i="21" s="1"/>
  <c r="I11" i="21" s="1"/>
  <c r="J35" i="2"/>
  <c r="Q21" i="5" s="1"/>
  <c r="J36" i="2"/>
  <c r="Q22" i="5" s="1"/>
  <c r="L6" i="12"/>
  <c r="O6" i="12" s="1"/>
  <c r="B6" i="22" s="1"/>
  <c r="Z6" i="22" s="1"/>
  <c r="L35" i="2"/>
  <c r="S21" i="5" s="1"/>
  <c r="L8" i="12"/>
  <c r="B8" i="15" s="1"/>
  <c r="AA37" i="15" s="1"/>
  <c r="G7" i="21"/>
  <c r="H7" i="21" s="1"/>
  <c r="I7" i="21" s="1"/>
  <c r="O22" i="12"/>
  <c r="B22" i="13"/>
  <c r="B22" i="15"/>
  <c r="B23" i="15"/>
  <c r="O23" i="12"/>
  <c r="B23" i="13"/>
  <c r="I3" i="12"/>
  <c r="L36" i="2"/>
  <c r="S22" i="5" s="1"/>
  <c r="B24" i="13"/>
  <c r="B24" i="15"/>
  <c r="O24" i="12"/>
  <c r="B25" i="15"/>
  <c r="O25" i="12"/>
  <c r="B25" i="13"/>
  <c r="G9" i="21"/>
  <c r="H9" i="21" s="1"/>
  <c r="I9" i="21" s="1"/>
  <c r="L7" i="12"/>
  <c r="B7" i="15" s="1"/>
  <c r="AA36" i="15" s="1"/>
  <c r="B26" i="13"/>
  <c r="B26" i="15"/>
  <c r="O26" i="12"/>
  <c r="B9" i="13"/>
  <c r="E9" i="13" s="1"/>
  <c r="L6" i="5"/>
  <c r="AS4" i="20" s="1"/>
  <c r="E14" i="5"/>
  <c r="K6" i="5"/>
  <c r="AS3" i="20" s="1"/>
  <c r="D14" i="5"/>
  <c r="H27" i="12"/>
  <c r="H27" i="11"/>
  <c r="C8" i="5" s="1"/>
  <c r="AR16" i="20" s="1"/>
  <c r="I27" i="11"/>
  <c r="D8" i="5" s="1"/>
  <c r="AR17" i="20" s="1"/>
  <c r="D6" i="5"/>
  <c r="AR3" i="20" s="1"/>
  <c r="E6" i="5"/>
  <c r="AR4" i="20" s="1"/>
  <c r="C6" i="5"/>
  <c r="AR2" i="20" s="1"/>
  <c r="F34" i="2"/>
  <c r="F35" i="2" s="1"/>
  <c r="F36" i="2" s="1"/>
  <c r="F37" i="2" s="1"/>
  <c r="J33" i="2" s="1"/>
  <c r="E4" i="15" l="1"/>
  <c r="R4" i="15"/>
  <c r="B4" i="13"/>
  <c r="Q33" i="13" s="1"/>
  <c r="O4" i="12"/>
  <c r="B4" i="22" s="1"/>
  <c r="N4" i="22" s="1"/>
  <c r="N4" i="15"/>
  <c r="AE33" i="15" s="1"/>
  <c r="AH33" i="15" s="1"/>
  <c r="B6" i="19"/>
  <c r="O9" i="12"/>
  <c r="B9" i="22" s="1"/>
  <c r="N9" i="22" s="1"/>
  <c r="AF9" i="22" s="1"/>
  <c r="E9" i="15"/>
  <c r="R9" i="15"/>
  <c r="N9" i="15"/>
  <c r="AE38" i="15" s="1"/>
  <c r="AH38" i="15" s="1"/>
  <c r="H6" i="3"/>
  <c r="K6" i="3" s="1"/>
  <c r="X13" i="12"/>
  <c r="K13" i="9"/>
  <c r="X10" i="13"/>
  <c r="AN10" i="13"/>
  <c r="AN12" i="13"/>
  <c r="X12" i="13"/>
  <c r="AF39" i="15"/>
  <c r="AD39" i="15"/>
  <c r="AG39" i="15" s="1"/>
  <c r="U41" i="13"/>
  <c r="Y41" i="13"/>
  <c r="T41" i="13"/>
  <c r="V41" i="13"/>
  <c r="X41" i="13" s="1"/>
  <c r="N12" i="9"/>
  <c r="X11" i="12"/>
  <c r="K11" i="9"/>
  <c r="AE40" i="15"/>
  <c r="AH40" i="15" s="1"/>
  <c r="K14" i="9"/>
  <c r="X14" i="12"/>
  <c r="X14" i="13"/>
  <c r="AN14" i="13"/>
  <c r="Z12" i="19"/>
  <c r="E12" i="19"/>
  <c r="N12" i="19"/>
  <c r="K10" i="9"/>
  <c r="X10" i="12"/>
  <c r="Y42" i="13"/>
  <c r="T42" i="13"/>
  <c r="U42" i="13"/>
  <c r="V42" i="13"/>
  <c r="X42" i="13" s="1"/>
  <c r="N13" i="9"/>
  <c r="K12" i="9"/>
  <c r="X12" i="12"/>
  <c r="N14" i="22"/>
  <c r="Z14" i="22"/>
  <c r="E14" i="22"/>
  <c r="U43" i="13"/>
  <c r="Y43" i="13"/>
  <c r="T43" i="13"/>
  <c r="V43" i="13"/>
  <c r="X43" i="13" s="1"/>
  <c r="N14" i="9"/>
  <c r="Z10" i="22"/>
  <c r="E10" i="22"/>
  <c r="N10" i="22"/>
  <c r="Z11" i="19"/>
  <c r="E11" i="19"/>
  <c r="N11" i="19"/>
  <c r="Z11" i="22"/>
  <c r="N11" i="22"/>
  <c r="E11" i="22"/>
  <c r="AF40" i="15"/>
  <c r="AD40" i="15"/>
  <c r="AG40" i="15" s="1"/>
  <c r="AF41" i="15"/>
  <c r="AE41" i="15"/>
  <c r="AH41" i="15" s="1"/>
  <c r="AD41" i="15"/>
  <c r="AG41" i="15" s="1"/>
  <c r="Z13" i="22"/>
  <c r="N13" i="22"/>
  <c r="E13" i="22"/>
  <c r="AD43" i="15"/>
  <c r="AG43" i="15" s="1"/>
  <c r="AF43" i="15"/>
  <c r="AE43" i="15"/>
  <c r="AH43" i="15" s="1"/>
  <c r="Z14" i="19"/>
  <c r="E14" i="19"/>
  <c r="N14" i="19"/>
  <c r="V40" i="13"/>
  <c r="X40" i="13" s="1"/>
  <c r="U40" i="13"/>
  <c r="T40" i="13"/>
  <c r="N11" i="9"/>
  <c r="Y40" i="13"/>
  <c r="E12" i="22"/>
  <c r="Z12" i="22"/>
  <c r="N12" i="22"/>
  <c r="R6" i="12"/>
  <c r="X6" i="12" s="1"/>
  <c r="AE39" i="15"/>
  <c r="AH39" i="15" s="1"/>
  <c r="X11" i="13"/>
  <c r="AN11" i="13"/>
  <c r="AF42" i="15"/>
  <c r="AD42" i="15"/>
  <c r="AG42" i="15" s="1"/>
  <c r="AE42" i="15"/>
  <c r="AH42" i="15" s="1"/>
  <c r="N13" i="19"/>
  <c r="E13" i="19"/>
  <c r="Z13" i="19"/>
  <c r="X13" i="13"/>
  <c r="AN13" i="13"/>
  <c r="Z10" i="19"/>
  <c r="N10" i="19"/>
  <c r="E10" i="19"/>
  <c r="T39" i="13"/>
  <c r="U39" i="13"/>
  <c r="N10" i="9"/>
  <c r="V39" i="13"/>
  <c r="X39" i="13" s="1"/>
  <c r="Y39" i="13"/>
  <c r="AA6" i="12"/>
  <c r="AD6" i="12" s="1"/>
  <c r="U6" i="12"/>
  <c r="N6" i="22"/>
  <c r="AF6" i="22" s="1"/>
  <c r="B6" i="13"/>
  <c r="Q35" i="13" s="1"/>
  <c r="V35" i="13" s="1"/>
  <c r="X35" i="13" s="1"/>
  <c r="E6" i="22"/>
  <c r="Q6" i="22" s="1"/>
  <c r="H6" i="9"/>
  <c r="B6" i="15"/>
  <c r="AA35" i="15" s="1"/>
  <c r="AD35" i="15" s="1"/>
  <c r="AG35" i="15" s="1"/>
  <c r="O8" i="12"/>
  <c r="B8" i="22" s="1"/>
  <c r="E8" i="22" s="1"/>
  <c r="E8" i="15"/>
  <c r="B8" i="13"/>
  <c r="N8" i="13" s="1"/>
  <c r="X8" i="13" s="1"/>
  <c r="O7" i="12"/>
  <c r="B7" i="22" s="1"/>
  <c r="N7" i="22" s="1"/>
  <c r="B7" i="13"/>
  <c r="N7" i="13" s="1"/>
  <c r="AN7" i="13" s="1"/>
  <c r="E7" i="15"/>
  <c r="R7" i="15"/>
  <c r="C29" i="21"/>
  <c r="N8" i="15"/>
  <c r="AE37" i="15" s="1"/>
  <c r="AH37" i="15" s="1"/>
  <c r="R8" i="15"/>
  <c r="B9" i="19"/>
  <c r="N9" i="19" s="1"/>
  <c r="N17" i="15"/>
  <c r="R17" i="15"/>
  <c r="E17" i="15"/>
  <c r="AA46" i="15"/>
  <c r="AA47" i="15"/>
  <c r="N18" i="15"/>
  <c r="R18" i="15"/>
  <c r="E18" i="15"/>
  <c r="E16" i="13"/>
  <c r="S16" i="13"/>
  <c r="AI16" i="13" s="1"/>
  <c r="N16" i="3"/>
  <c r="Q16" i="3" s="1"/>
  <c r="N16" i="13"/>
  <c r="Q45" i="13"/>
  <c r="H18" i="3"/>
  <c r="K18" i="3" s="1"/>
  <c r="B18" i="19"/>
  <c r="B18" i="22"/>
  <c r="AA18" i="12"/>
  <c r="AD18" i="12" s="1"/>
  <c r="H18" i="9"/>
  <c r="R18" i="12"/>
  <c r="U18" i="12"/>
  <c r="H9" i="9"/>
  <c r="AA45" i="15"/>
  <c r="E16" i="15"/>
  <c r="N16" i="15"/>
  <c r="R16" i="15"/>
  <c r="N21" i="13"/>
  <c r="E21" i="13"/>
  <c r="S21" i="13"/>
  <c r="AI21" i="13" s="1"/>
  <c r="N21" i="3"/>
  <c r="Q21" i="3" s="1"/>
  <c r="Q50" i="13"/>
  <c r="R20" i="15"/>
  <c r="AA49" i="15"/>
  <c r="E20" i="15"/>
  <c r="N20" i="15"/>
  <c r="B16" i="19"/>
  <c r="H16" i="3"/>
  <c r="K16" i="3" s="1"/>
  <c r="H16" i="9"/>
  <c r="R16" i="12"/>
  <c r="U16" i="12"/>
  <c r="B16" i="22"/>
  <c r="AA16" i="12"/>
  <c r="AD16" i="12" s="1"/>
  <c r="AA50" i="15"/>
  <c r="R21" i="15"/>
  <c r="N21" i="15"/>
  <c r="E21" i="15"/>
  <c r="H20" i="9"/>
  <c r="B20" i="22"/>
  <c r="R20" i="12"/>
  <c r="AA20" i="12"/>
  <c r="AD20" i="12" s="1"/>
  <c r="B20" i="19"/>
  <c r="H20" i="3"/>
  <c r="K20" i="3" s="1"/>
  <c r="U20" i="12"/>
  <c r="E15" i="15"/>
  <c r="AA44" i="15"/>
  <c r="R15" i="15"/>
  <c r="N15" i="15"/>
  <c r="U21" i="12"/>
  <c r="B21" i="22"/>
  <c r="B21" i="19"/>
  <c r="H21" i="3"/>
  <c r="K21" i="3" s="1"/>
  <c r="R21" i="12"/>
  <c r="H21" i="9"/>
  <c r="AA21" i="12"/>
  <c r="AD21" i="12" s="1"/>
  <c r="N20" i="13"/>
  <c r="E20" i="13"/>
  <c r="S20" i="13"/>
  <c r="AI20" i="13" s="1"/>
  <c r="N20" i="3"/>
  <c r="Q20" i="3" s="1"/>
  <c r="Q49" i="13"/>
  <c r="S15" i="13"/>
  <c r="AI15" i="13" s="1"/>
  <c r="E15" i="13"/>
  <c r="Q44" i="13"/>
  <c r="N15" i="3"/>
  <c r="Q15" i="3" s="1"/>
  <c r="N15" i="13"/>
  <c r="AA48" i="15"/>
  <c r="E19" i="15"/>
  <c r="N19" i="15"/>
  <c r="R19" i="15"/>
  <c r="N9" i="13"/>
  <c r="X9" i="13" s="1"/>
  <c r="AA17" i="12"/>
  <c r="AD17" i="12" s="1"/>
  <c r="H17" i="3"/>
  <c r="K17" i="3" s="1"/>
  <c r="B17" i="19"/>
  <c r="B17" i="22"/>
  <c r="U17" i="12"/>
  <c r="R17" i="12"/>
  <c r="H17" i="9"/>
  <c r="H15" i="3"/>
  <c r="K15" i="3" s="1"/>
  <c r="R15" i="12"/>
  <c r="H15" i="9"/>
  <c r="U15" i="12"/>
  <c r="AA15" i="12"/>
  <c r="AD15" i="12" s="1"/>
  <c r="B15" i="22"/>
  <c r="B15" i="19"/>
  <c r="AA19" i="12"/>
  <c r="AD19" i="12" s="1"/>
  <c r="B19" i="22"/>
  <c r="R19" i="12"/>
  <c r="U19" i="12"/>
  <c r="H19" i="3"/>
  <c r="K19" i="3" s="1"/>
  <c r="H19" i="9"/>
  <c r="B19" i="19"/>
  <c r="E17" i="13"/>
  <c r="N17" i="3"/>
  <c r="Q17" i="3" s="1"/>
  <c r="N17" i="13"/>
  <c r="Q46" i="13"/>
  <c r="S17" i="13"/>
  <c r="AI17" i="13" s="1"/>
  <c r="E18" i="13"/>
  <c r="N18" i="13"/>
  <c r="Q47" i="13"/>
  <c r="N18" i="3"/>
  <c r="Q18" i="3" s="1"/>
  <c r="S18" i="13"/>
  <c r="AI18" i="13" s="1"/>
  <c r="S19" i="13"/>
  <c r="AI19" i="13" s="1"/>
  <c r="E19" i="13"/>
  <c r="Q48" i="13"/>
  <c r="N19" i="13"/>
  <c r="N19" i="3"/>
  <c r="Q19" i="3" s="1"/>
  <c r="AA9" i="12"/>
  <c r="AD9" i="12" s="1"/>
  <c r="Z9" i="22"/>
  <c r="N7" i="15"/>
  <c r="AE36" i="15" s="1"/>
  <c r="AH36" i="15" s="1"/>
  <c r="AA4" i="12"/>
  <c r="AD4" i="12" s="1"/>
  <c r="H4" i="3"/>
  <c r="K4" i="3" s="1"/>
  <c r="U4" i="12"/>
  <c r="E23" i="13"/>
  <c r="N23" i="3"/>
  <c r="Q23" i="3" s="1"/>
  <c r="N23" i="13"/>
  <c r="S23" i="13"/>
  <c r="AI23" i="13" s="1"/>
  <c r="Q52" i="13"/>
  <c r="B26" i="22"/>
  <c r="H26" i="9"/>
  <c r="U26" i="12"/>
  <c r="R26" i="12"/>
  <c r="AA26" i="12"/>
  <c r="AD26" i="12" s="1"/>
  <c r="H26" i="3"/>
  <c r="K26" i="3" s="1"/>
  <c r="B26" i="19"/>
  <c r="Q54" i="13"/>
  <c r="E25" i="13"/>
  <c r="N25" i="13"/>
  <c r="S25" i="13"/>
  <c r="AI25" i="13" s="1"/>
  <c r="N25" i="3"/>
  <c r="Q25" i="3" s="1"/>
  <c r="B24" i="22"/>
  <c r="U24" i="12"/>
  <c r="B24" i="19"/>
  <c r="H24" i="3"/>
  <c r="K24" i="3" s="1"/>
  <c r="H24" i="9"/>
  <c r="R24" i="12"/>
  <c r="AA24" i="12"/>
  <c r="AD24" i="12" s="1"/>
  <c r="AA23" i="12"/>
  <c r="AD23" i="12" s="1"/>
  <c r="H23" i="3"/>
  <c r="K23" i="3" s="1"/>
  <c r="B23" i="19"/>
  <c r="B23" i="22"/>
  <c r="U23" i="12"/>
  <c r="H23" i="9"/>
  <c r="R23" i="12"/>
  <c r="AA52" i="15"/>
  <c r="E23" i="15"/>
  <c r="R23" i="15"/>
  <c r="N23" i="15"/>
  <c r="AA55" i="15"/>
  <c r="E26" i="15"/>
  <c r="N26" i="15"/>
  <c r="R26" i="15"/>
  <c r="B25" i="22"/>
  <c r="AA25" i="12"/>
  <c r="AD25" i="12" s="1"/>
  <c r="U25" i="12"/>
  <c r="B25" i="19"/>
  <c r="H25" i="3"/>
  <c r="K25" i="3" s="1"/>
  <c r="R25" i="12"/>
  <c r="H25" i="9"/>
  <c r="AA53" i="15"/>
  <c r="E24" i="15"/>
  <c r="R24" i="15"/>
  <c r="N24" i="15"/>
  <c r="E26" i="13"/>
  <c r="N26" i="13"/>
  <c r="S26" i="13"/>
  <c r="AI26" i="13" s="1"/>
  <c r="N26" i="3"/>
  <c r="Q26" i="3" s="1"/>
  <c r="Q55" i="13"/>
  <c r="AA54" i="15"/>
  <c r="N25" i="15"/>
  <c r="R25" i="15"/>
  <c r="E25" i="15"/>
  <c r="S24" i="13"/>
  <c r="AI24" i="13" s="1"/>
  <c r="N24" i="13"/>
  <c r="E24" i="13"/>
  <c r="N24" i="3"/>
  <c r="Q24" i="3" s="1"/>
  <c r="Q53" i="13"/>
  <c r="AA51" i="15"/>
  <c r="R22" i="15"/>
  <c r="N22" i="15"/>
  <c r="E22" i="15"/>
  <c r="D5" i="21"/>
  <c r="I27" i="12"/>
  <c r="Q51" i="13"/>
  <c r="S22" i="13"/>
  <c r="AI22" i="13" s="1"/>
  <c r="N22" i="13"/>
  <c r="N22" i="3"/>
  <c r="Q22" i="3" s="1"/>
  <c r="E22" i="13"/>
  <c r="U9" i="12"/>
  <c r="Q38" i="13"/>
  <c r="N9" i="9" s="1"/>
  <c r="B22" i="22"/>
  <c r="AA22" i="12"/>
  <c r="AD22" i="12" s="1"/>
  <c r="H22" i="3"/>
  <c r="K22" i="3" s="1"/>
  <c r="H22" i="9"/>
  <c r="B22" i="19"/>
  <c r="R22" i="12"/>
  <c r="U22" i="12"/>
  <c r="S9" i="13"/>
  <c r="AI9" i="13" s="1"/>
  <c r="N4" i="3"/>
  <c r="Q4" i="3" s="1"/>
  <c r="N9" i="3"/>
  <c r="Q9" i="3" s="1"/>
  <c r="R4" i="12"/>
  <c r="K4" i="9" s="1"/>
  <c r="Z4" i="22"/>
  <c r="E4" i="22"/>
  <c r="AC4" i="22" s="1"/>
  <c r="H4" i="9"/>
  <c r="B4" i="19"/>
  <c r="Z4" i="19" s="1"/>
  <c r="L33" i="2"/>
  <c r="Q19" i="5"/>
  <c r="E4" i="13"/>
  <c r="N4" i="13"/>
  <c r="X4" i="13" s="1"/>
  <c r="S4" i="13"/>
  <c r="AI4" i="13" s="1"/>
  <c r="U7" i="12"/>
  <c r="AL4" i="22"/>
  <c r="AF4" i="22"/>
  <c r="AC6" i="22"/>
  <c r="Z7" i="22"/>
  <c r="Z6" i="19"/>
  <c r="E6" i="19"/>
  <c r="N6" i="19"/>
  <c r="AF36" i="15"/>
  <c r="AD36" i="15"/>
  <c r="AG36" i="15" s="1"/>
  <c r="N4" i="9"/>
  <c r="Y33" i="13"/>
  <c r="Y35" i="13"/>
  <c r="AF38" i="15"/>
  <c r="AD38" i="15"/>
  <c r="AF33" i="15"/>
  <c r="AD33" i="15"/>
  <c r="AG33" i="15" s="1"/>
  <c r="AF37" i="15"/>
  <c r="AD37" i="15"/>
  <c r="AG37" i="15" s="1"/>
  <c r="E20" i="5"/>
  <c r="L14" i="5"/>
  <c r="L20" i="5" s="1"/>
  <c r="D20" i="5"/>
  <c r="K14" i="5"/>
  <c r="K20" i="5" s="1"/>
  <c r="K6" i="9"/>
  <c r="U33" i="13"/>
  <c r="V33" i="13"/>
  <c r="X33" i="13" s="1"/>
  <c r="T33" i="13"/>
  <c r="F8" i="5"/>
  <c r="AR19" i="20" s="1"/>
  <c r="F6" i="5"/>
  <c r="AR5" i="20" s="1"/>
  <c r="E9" i="22" l="1"/>
  <c r="AC9" i="22" s="1"/>
  <c r="H9" i="3"/>
  <c r="K9" i="3" s="1"/>
  <c r="R9" i="12"/>
  <c r="K9" i="9" s="1"/>
  <c r="AN9" i="13"/>
  <c r="Z9" i="19"/>
  <c r="AL9" i="22"/>
  <c r="AL6" i="22"/>
  <c r="E9" i="19"/>
  <c r="AC9" i="19" s="1"/>
  <c r="AN8" i="13"/>
  <c r="Q37" i="13"/>
  <c r="N8" i="9" s="1"/>
  <c r="E8" i="13"/>
  <c r="S8" i="13"/>
  <c r="AI8" i="13" s="1"/>
  <c r="N6" i="9"/>
  <c r="AF35" i="15"/>
  <c r="R6" i="15"/>
  <c r="AA7" i="12"/>
  <c r="AD7" i="12" s="1"/>
  <c r="B7" i="19"/>
  <c r="E7" i="19" s="1"/>
  <c r="AA8" i="12"/>
  <c r="AD8" i="12" s="1"/>
  <c r="N8" i="22"/>
  <c r="AF8" i="22" s="1"/>
  <c r="U8" i="12"/>
  <c r="N6" i="15"/>
  <c r="AE35" i="15" s="1"/>
  <c r="AH35" i="15" s="1"/>
  <c r="B8" i="19"/>
  <c r="N8" i="19" s="1"/>
  <c r="AL8" i="19" s="1"/>
  <c r="Z8" i="22"/>
  <c r="E6" i="15"/>
  <c r="Q9" i="22"/>
  <c r="AO9" i="22" s="1"/>
  <c r="H8" i="3"/>
  <c r="K8" i="3" s="1"/>
  <c r="R8" i="12"/>
  <c r="K8" i="9" s="1"/>
  <c r="H8" i="9"/>
  <c r="Q13" i="19"/>
  <c r="AC13" i="19"/>
  <c r="AF13" i="22"/>
  <c r="AL13" i="22"/>
  <c r="AL11" i="22"/>
  <c r="AF11" i="22"/>
  <c r="AF13" i="19"/>
  <c r="AL13" i="19"/>
  <c r="Q36" i="13"/>
  <c r="N7" i="9" s="1"/>
  <c r="AC10" i="19"/>
  <c r="Q10" i="19"/>
  <c r="Q14" i="19"/>
  <c r="AC14" i="19"/>
  <c r="AL11" i="19"/>
  <c r="AF11" i="19"/>
  <c r="Q14" i="9"/>
  <c r="W43" i="13"/>
  <c r="Q12" i="19"/>
  <c r="AC12" i="19"/>
  <c r="U35" i="13"/>
  <c r="N6" i="13"/>
  <c r="X6" i="13" s="1"/>
  <c r="AF10" i="19"/>
  <c r="AL10" i="19"/>
  <c r="AC12" i="22"/>
  <c r="Q12" i="22"/>
  <c r="AC11" i="19"/>
  <c r="Q11" i="19"/>
  <c r="E6" i="13"/>
  <c r="S6" i="13"/>
  <c r="AI6" i="13" s="1"/>
  <c r="AF10" i="22"/>
  <c r="AL10" i="22"/>
  <c r="Q14" i="22"/>
  <c r="AC14" i="22"/>
  <c r="W42" i="13"/>
  <c r="Q13" i="9"/>
  <c r="W41" i="13"/>
  <c r="Q12" i="9"/>
  <c r="Q10" i="9"/>
  <c r="W39" i="13"/>
  <c r="Q11" i="9"/>
  <c r="W40" i="13"/>
  <c r="AC10" i="22"/>
  <c r="Q10" i="22"/>
  <c r="AF12" i="22"/>
  <c r="AL12" i="22"/>
  <c r="AL14" i="19"/>
  <c r="AF14" i="19"/>
  <c r="AL12" i="19"/>
  <c r="AF12" i="19"/>
  <c r="T35" i="13"/>
  <c r="Q6" i="9" s="1"/>
  <c r="N6" i="3"/>
  <c r="Q6" i="3" s="1"/>
  <c r="AC13" i="22"/>
  <c r="Q13" i="22"/>
  <c r="Q11" i="22"/>
  <c r="AC11" i="22"/>
  <c r="AL14" i="22"/>
  <c r="AF14" i="22"/>
  <c r="N4" i="19"/>
  <c r="AL4" i="19" s="1"/>
  <c r="AE51" i="15"/>
  <c r="AH51" i="15" s="1"/>
  <c r="N8" i="3"/>
  <c r="Q8" i="3" s="1"/>
  <c r="X9" i="12"/>
  <c r="E7" i="22"/>
  <c r="H7" i="3"/>
  <c r="K7" i="3" s="1"/>
  <c r="T37" i="13"/>
  <c r="W37" i="13" s="1"/>
  <c r="U37" i="13"/>
  <c r="R7" i="12"/>
  <c r="X7" i="12" s="1"/>
  <c r="N7" i="3"/>
  <c r="Q7" i="3" s="1"/>
  <c r="S7" i="13"/>
  <c r="AI7" i="13" s="1"/>
  <c r="H7" i="9"/>
  <c r="E7" i="13"/>
  <c r="V37" i="13"/>
  <c r="X37" i="13" s="1"/>
  <c r="Y37" i="13"/>
  <c r="X17" i="13"/>
  <c r="AN17" i="13"/>
  <c r="Z19" i="22"/>
  <c r="E19" i="22"/>
  <c r="N19" i="22"/>
  <c r="AE44" i="15"/>
  <c r="AH44" i="15" s="1"/>
  <c r="AD44" i="15"/>
  <c r="AG44" i="15" s="1"/>
  <c r="AF44" i="15"/>
  <c r="K16" i="9"/>
  <c r="X16" i="12"/>
  <c r="U50" i="13"/>
  <c r="N21" i="9"/>
  <c r="T50" i="13"/>
  <c r="Y50" i="13"/>
  <c r="V50" i="13"/>
  <c r="X50" i="13" s="1"/>
  <c r="AF45" i="15"/>
  <c r="AD45" i="15"/>
  <c r="AG45" i="15" s="1"/>
  <c r="AE45" i="15"/>
  <c r="AH45" i="15" s="1"/>
  <c r="E18" i="19"/>
  <c r="Z18" i="19"/>
  <c r="N18" i="19"/>
  <c r="X21" i="12"/>
  <c r="K21" i="9"/>
  <c r="N15" i="19"/>
  <c r="Z15" i="19"/>
  <c r="E15" i="19"/>
  <c r="X17" i="12"/>
  <c r="K17" i="9"/>
  <c r="Y49" i="13"/>
  <c r="U49" i="13"/>
  <c r="T49" i="13"/>
  <c r="N20" i="9"/>
  <c r="V49" i="13"/>
  <c r="X49" i="13" s="1"/>
  <c r="N16" i="9"/>
  <c r="V45" i="13"/>
  <c r="X45" i="13" s="1"/>
  <c r="U45" i="13"/>
  <c r="Y45" i="13"/>
  <c r="T45" i="13"/>
  <c r="AE47" i="15"/>
  <c r="AH47" i="15" s="1"/>
  <c r="AF47" i="15"/>
  <c r="AD47" i="15"/>
  <c r="AG47" i="15" s="1"/>
  <c r="U47" i="13"/>
  <c r="T47" i="13"/>
  <c r="N18" i="9"/>
  <c r="Y47" i="13"/>
  <c r="V47" i="13"/>
  <c r="X47" i="13" s="1"/>
  <c r="N19" i="19"/>
  <c r="Z19" i="19"/>
  <c r="E19" i="19"/>
  <c r="Z15" i="22"/>
  <c r="E15" i="22"/>
  <c r="N15" i="22"/>
  <c r="N21" i="19"/>
  <c r="Z21" i="19"/>
  <c r="E21" i="19"/>
  <c r="E16" i="19"/>
  <c r="Z16" i="19"/>
  <c r="N16" i="19"/>
  <c r="AN16" i="13"/>
  <c r="X16" i="13"/>
  <c r="AD46" i="15"/>
  <c r="AG46" i="15" s="1"/>
  <c r="AE46" i="15"/>
  <c r="AH46" i="15" s="1"/>
  <c r="AF46" i="15"/>
  <c r="Z17" i="22"/>
  <c r="E17" i="22"/>
  <c r="N17" i="22"/>
  <c r="AD48" i="15"/>
  <c r="AG48" i="15" s="1"/>
  <c r="AF48" i="15"/>
  <c r="AE48" i="15"/>
  <c r="AH48" i="15" s="1"/>
  <c r="N21" i="22"/>
  <c r="Z21" i="22"/>
  <c r="E21" i="22"/>
  <c r="Z20" i="19"/>
  <c r="E20" i="19"/>
  <c r="N20" i="19"/>
  <c r="AF50" i="15"/>
  <c r="AD50" i="15"/>
  <c r="AG50" i="15" s="1"/>
  <c r="AE50" i="15"/>
  <c r="AH50" i="15" s="1"/>
  <c r="X21" i="13"/>
  <c r="AN21" i="13"/>
  <c r="X18" i="12"/>
  <c r="K18" i="9"/>
  <c r="AN19" i="13"/>
  <c r="X19" i="13"/>
  <c r="N17" i="19"/>
  <c r="E17" i="19"/>
  <c r="Z17" i="19"/>
  <c r="AN15" i="13"/>
  <c r="X15" i="13"/>
  <c r="X18" i="13"/>
  <c r="AN18" i="13"/>
  <c r="X7" i="13"/>
  <c r="N19" i="9"/>
  <c r="T48" i="13"/>
  <c r="V48" i="13"/>
  <c r="X48" i="13" s="1"/>
  <c r="Y48" i="13"/>
  <c r="U48" i="13"/>
  <c r="AN20" i="13"/>
  <c r="X20" i="13"/>
  <c r="X20" i="12"/>
  <c r="K20" i="9"/>
  <c r="N16" i="22"/>
  <c r="Z16" i="22"/>
  <c r="E16" i="22"/>
  <c r="AE49" i="15"/>
  <c r="AH49" i="15" s="1"/>
  <c r="AD49" i="15"/>
  <c r="AG49" i="15" s="1"/>
  <c r="AF49" i="15"/>
  <c r="E4" i="19"/>
  <c r="AC4" i="19" s="1"/>
  <c r="U46" i="13"/>
  <c r="Y46" i="13"/>
  <c r="V46" i="13"/>
  <c r="X46" i="13" s="1"/>
  <c r="T46" i="13"/>
  <c r="N17" i="9"/>
  <c r="X19" i="12"/>
  <c r="K19" i="9"/>
  <c r="K15" i="9"/>
  <c r="X15" i="12"/>
  <c r="U44" i="13"/>
  <c r="V44" i="13"/>
  <c r="X44" i="13" s="1"/>
  <c r="N15" i="9"/>
  <c r="Y44" i="13"/>
  <c r="T44" i="13"/>
  <c r="Z20" i="22"/>
  <c r="E20" i="22"/>
  <c r="N20" i="22"/>
  <c r="E18" i="22"/>
  <c r="Z18" i="22"/>
  <c r="N18" i="22"/>
  <c r="N7" i="19"/>
  <c r="AF7" i="19" s="1"/>
  <c r="U38" i="13"/>
  <c r="Y38" i="13"/>
  <c r="T38" i="13"/>
  <c r="W38" i="13" s="1"/>
  <c r="V38" i="13"/>
  <c r="X38" i="13" s="1"/>
  <c r="Q4" i="22"/>
  <c r="AO4" i="22" s="1"/>
  <c r="Z7" i="19"/>
  <c r="AE55" i="15"/>
  <c r="AH55" i="15" s="1"/>
  <c r="AN4" i="13"/>
  <c r="AE54" i="15"/>
  <c r="AH54" i="15" s="1"/>
  <c r="N22" i="19"/>
  <c r="Z22" i="19"/>
  <c r="E22" i="19"/>
  <c r="AD53" i="15"/>
  <c r="AG53" i="15" s="1"/>
  <c r="AF53" i="15"/>
  <c r="K24" i="9"/>
  <c r="X24" i="12"/>
  <c r="AN25" i="13"/>
  <c r="X25" i="13"/>
  <c r="N24" i="9"/>
  <c r="Y53" i="13"/>
  <c r="U53" i="13"/>
  <c r="T53" i="13"/>
  <c r="V53" i="13"/>
  <c r="X53" i="13" s="1"/>
  <c r="X26" i="13"/>
  <c r="AN26" i="13"/>
  <c r="AF52" i="15"/>
  <c r="AD52" i="15"/>
  <c r="AG52" i="15" s="1"/>
  <c r="E23" i="22"/>
  <c r="N23" i="22"/>
  <c r="Z23" i="22"/>
  <c r="N26" i="22"/>
  <c r="Z26" i="22"/>
  <c r="E26" i="22"/>
  <c r="N23" i="9"/>
  <c r="T52" i="13"/>
  <c r="U52" i="13"/>
  <c r="V52" i="13"/>
  <c r="X52" i="13" s="1"/>
  <c r="Y52" i="13"/>
  <c r="D29" i="21"/>
  <c r="G5" i="21"/>
  <c r="K25" i="9"/>
  <c r="X25" i="12"/>
  <c r="E23" i="19"/>
  <c r="N23" i="19"/>
  <c r="Z23" i="19"/>
  <c r="N25" i="9"/>
  <c r="V54" i="13"/>
  <c r="X54" i="13" s="1"/>
  <c r="Y54" i="13"/>
  <c r="U54" i="13"/>
  <c r="T54" i="13"/>
  <c r="AF54" i="15"/>
  <c r="AD54" i="15"/>
  <c r="AG54" i="15" s="1"/>
  <c r="AF55" i="15"/>
  <c r="AD55" i="15"/>
  <c r="AG55" i="15" s="1"/>
  <c r="N24" i="19"/>
  <c r="Z24" i="19"/>
  <c r="E24" i="19"/>
  <c r="Z26" i="19"/>
  <c r="E26" i="19"/>
  <c r="N26" i="19"/>
  <c r="X23" i="13"/>
  <c r="AN23" i="13"/>
  <c r="X4" i="12"/>
  <c r="E22" i="22"/>
  <c r="N22" i="22"/>
  <c r="Z22" i="22"/>
  <c r="AN22" i="13"/>
  <c r="X22" i="13"/>
  <c r="AF51" i="15"/>
  <c r="AD51" i="15"/>
  <c r="AG51" i="15" s="1"/>
  <c r="X24" i="13"/>
  <c r="AN24" i="13"/>
  <c r="E25" i="19"/>
  <c r="N25" i="19"/>
  <c r="Z25" i="19"/>
  <c r="AE53" i="15"/>
  <c r="AH53" i="15" s="1"/>
  <c r="E24" i="22"/>
  <c r="N24" i="22"/>
  <c r="Z24" i="22"/>
  <c r="U51" i="13"/>
  <c r="T51" i="13"/>
  <c r="V51" i="13"/>
  <c r="X51" i="13" s="1"/>
  <c r="N22" i="9"/>
  <c r="Y51" i="13"/>
  <c r="N26" i="9"/>
  <c r="U55" i="13"/>
  <c r="Y55" i="13"/>
  <c r="V55" i="13"/>
  <c r="X55" i="13" s="1"/>
  <c r="T55" i="13"/>
  <c r="AE52" i="15"/>
  <c r="AH52" i="15" s="1"/>
  <c r="K23" i="9"/>
  <c r="X23" i="12"/>
  <c r="K26" i="9"/>
  <c r="X26" i="12"/>
  <c r="X22" i="12"/>
  <c r="K22" i="9"/>
  <c r="Z25" i="22"/>
  <c r="N25" i="22"/>
  <c r="E25" i="22"/>
  <c r="S19" i="5"/>
  <c r="K32" i="21"/>
  <c r="J5" i="12"/>
  <c r="X8" i="12"/>
  <c r="AL7" i="22"/>
  <c r="AF7" i="22"/>
  <c r="AI6" i="22"/>
  <c r="AO6" i="22"/>
  <c r="AC8" i="22"/>
  <c r="Q8" i="22"/>
  <c r="AC7" i="22"/>
  <c r="Q7" i="22"/>
  <c r="AC6" i="19"/>
  <c r="Q6" i="19"/>
  <c r="AF6" i="19"/>
  <c r="AL6" i="19"/>
  <c r="AC7" i="19"/>
  <c r="Q7" i="19"/>
  <c r="AF9" i="19"/>
  <c r="AL9" i="19"/>
  <c r="AG38" i="15"/>
  <c r="W33" i="13"/>
  <c r="Q4" i="9"/>
  <c r="Q8" i="9"/>
  <c r="J34" i="2"/>
  <c r="Q20" i="5" s="1"/>
  <c r="Q9" i="19" l="1"/>
  <c r="AL8" i="22"/>
  <c r="AF4" i="19"/>
  <c r="E8" i="19"/>
  <c r="AC8" i="19" s="1"/>
  <c r="K7" i="9"/>
  <c r="AF8" i="19"/>
  <c r="W35" i="13"/>
  <c r="Y36" i="13"/>
  <c r="AI9" i="22"/>
  <c r="AN6" i="13"/>
  <c r="Z8" i="19"/>
  <c r="Q9" i="9"/>
  <c r="Q4" i="19"/>
  <c r="AO4" i="19" s="1"/>
  <c r="AO14" i="22"/>
  <c r="AI14" i="22"/>
  <c r="AO11" i="22"/>
  <c r="AI11" i="22"/>
  <c r="AO13" i="22"/>
  <c r="AI13" i="22"/>
  <c r="AO14" i="19"/>
  <c r="AI14" i="19"/>
  <c r="AI10" i="22"/>
  <c r="AO10" i="22"/>
  <c r="AI11" i="19"/>
  <c r="AO11" i="19"/>
  <c r="AO10" i="19"/>
  <c r="AI10" i="19"/>
  <c r="AO12" i="19"/>
  <c r="AI12" i="19"/>
  <c r="AI12" i="22"/>
  <c r="AO12" i="22"/>
  <c r="V36" i="13"/>
  <c r="X36" i="13" s="1"/>
  <c r="T36" i="13"/>
  <c r="U36" i="13"/>
  <c r="AI13" i="19"/>
  <c r="AO13" i="19"/>
  <c r="AL7" i="19"/>
  <c r="AI4" i="22"/>
  <c r="Q8" i="19"/>
  <c r="AO8" i="19" s="1"/>
  <c r="AF18" i="22"/>
  <c r="AL18" i="22"/>
  <c r="W46" i="13"/>
  <c r="Q17" i="9"/>
  <c r="Q16" i="22"/>
  <c r="AC16" i="22"/>
  <c r="AC21" i="22"/>
  <c r="Q21" i="22"/>
  <c r="AC16" i="19"/>
  <c r="Q16" i="19"/>
  <c r="AF15" i="19"/>
  <c r="AL15" i="19"/>
  <c r="Q21" i="19"/>
  <c r="AC21" i="19"/>
  <c r="AL19" i="19"/>
  <c r="AF19" i="19"/>
  <c r="W49" i="13"/>
  <c r="Q20" i="9"/>
  <c r="Q18" i="22"/>
  <c r="AC18" i="22"/>
  <c r="AF16" i="22"/>
  <c r="AL16" i="22"/>
  <c r="W48" i="13"/>
  <c r="Q19" i="9"/>
  <c r="AC17" i="19"/>
  <c r="Q17" i="19"/>
  <c r="AL21" i="22"/>
  <c r="AF21" i="22"/>
  <c r="W45" i="13"/>
  <c r="Q16" i="9"/>
  <c r="AL20" i="22"/>
  <c r="AF20" i="22"/>
  <c r="AF17" i="19"/>
  <c r="AL17" i="19"/>
  <c r="AF21" i="19"/>
  <c r="AL21" i="19"/>
  <c r="AL18" i="19"/>
  <c r="AF18" i="19"/>
  <c r="W50" i="13"/>
  <c r="Q21" i="9"/>
  <c r="AL19" i="22"/>
  <c r="AF19" i="22"/>
  <c r="AC20" i="22"/>
  <c r="Q20" i="22"/>
  <c r="AL15" i="22"/>
  <c r="AF15" i="22"/>
  <c r="AC19" i="22"/>
  <c r="Q19" i="22"/>
  <c r="AF20" i="19"/>
  <c r="AL20" i="19"/>
  <c r="Q15" i="22"/>
  <c r="AC15" i="22"/>
  <c r="W47" i="13"/>
  <c r="Q18" i="9"/>
  <c r="Q18" i="19"/>
  <c r="AC18" i="19"/>
  <c r="W44" i="13"/>
  <c r="Q15" i="9"/>
  <c r="AC20" i="19"/>
  <c r="Q20" i="19"/>
  <c r="AL17" i="22"/>
  <c r="AF17" i="22"/>
  <c r="AF16" i="19"/>
  <c r="AL16" i="19"/>
  <c r="AC15" i="19"/>
  <c r="Q15" i="19"/>
  <c r="AC17" i="22"/>
  <c r="Q17" i="22"/>
  <c r="AC19" i="19"/>
  <c r="Q19" i="19"/>
  <c r="AF25" i="19"/>
  <c r="AL25" i="19"/>
  <c r="AL23" i="19"/>
  <c r="AF23" i="19"/>
  <c r="Q23" i="22"/>
  <c r="AC23" i="22"/>
  <c r="AL25" i="22"/>
  <c r="AF25" i="22"/>
  <c r="W55" i="13"/>
  <c r="Q26" i="9"/>
  <c r="W51" i="13"/>
  <c r="Q22" i="9"/>
  <c r="AC25" i="19"/>
  <c r="Q25" i="19"/>
  <c r="AL22" i="22"/>
  <c r="AF22" i="22"/>
  <c r="Q24" i="19"/>
  <c r="AC24" i="19"/>
  <c r="AC23" i="19"/>
  <c r="Q23" i="19"/>
  <c r="W52" i="13"/>
  <c r="Q23" i="9"/>
  <c r="AC22" i="22"/>
  <c r="Q22" i="22"/>
  <c r="W54" i="13"/>
  <c r="Q25" i="9"/>
  <c r="AL24" i="19"/>
  <c r="AF24" i="19"/>
  <c r="AC26" i="22"/>
  <c r="Q26" i="22"/>
  <c r="AL23" i="22"/>
  <c r="AF23" i="22"/>
  <c r="G29" i="21"/>
  <c r="H5" i="21"/>
  <c r="AC22" i="19"/>
  <c r="Q22" i="19"/>
  <c r="AC26" i="19"/>
  <c r="Q26" i="19"/>
  <c r="AL24" i="22"/>
  <c r="AF24" i="22"/>
  <c r="Q24" i="22"/>
  <c r="AC24" i="22"/>
  <c r="AF26" i="22"/>
  <c r="AL26" i="22"/>
  <c r="AC25" i="22"/>
  <c r="Q25" i="22"/>
  <c r="AF26" i="19"/>
  <c r="AL26" i="19"/>
  <c r="Q24" i="9"/>
  <c r="W53" i="13"/>
  <c r="AF22" i="19"/>
  <c r="AL22" i="19"/>
  <c r="J27" i="12"/>
  <c r="L5" i="12"/>
  <c r="AI7" i="22"/>
  <c r="AO7" i="22"/>
  <c r="AO8" i="22"/>
  <c r="AI8" i="22"/>
  <c r="AI6" i="19"/>
  <c r="AO6" i="19"/>
  <c r="AI7" i="19"/>
  <c r="AO7" i="19"/>
  <c r="AI9" i="19"/>
  <c r="AO9" i="19"/>
  <c r="L34" i="2"/>
  <c r="AI4" i="19" l="1"/>
  <c r="AI8" i="19"/>
  <c r="W36" i="13"/>
  <c r="Q7" i="9"/>
  <c r="AO19" i="22"/>
  <c r="AI19" i="22"/>
  <c r="AI21" i="22"/>
  <c r="AO21" i="22"/>
  <c r="AI18" i="19"/>
  <c r="AO18" i="19"/>
  <c r="AI19" i="19"/>
  <c r="AO19" i="19"/>
  <c r="AI21" i="19"/>
  <c r="AO21" i="19"/>
  <c r="AI16" i="22"/>
  <c r="AO16" i="22"/>
  <c r="AI17" i="22"/>
  <c r="AO17" i="22"/>
  <c r="AO20" i="19"/>
  <c r="AI20" i="19"/>
  <c r="AO20" i="22"/>
  <c r="AI20" i="22"/>
  <c r="AO15" i="22"/>
  <c r="AI15" i="22"/>
  <c r="AI18" i="22"/>
  <c r="AO18" i="22"/>
  <c r="AO15" i="19"/>
  <c r="AI15" i="19"/>
  <c r="AI17" i="19"/>
  <c r="AO17" i="19"/>
  <c r="AI16" i="19"/>
  <c r="AO16" i="19"/>
  <c r="AI22" i="22"/>
  <c r="AO22" i="22"/>
  <c r="AI25" i="19"/>
  <c r="AO25" i="19"/>
  <c r="AI26" i="19"/>
  <c r="AO26" i="19"/>
  <c r="AO23" i="22"/>
  <c r="AI23" i="22"/>
  <c r="AI22" i="19"/>
  <c r="AO22" i="19"/>
  <c r="AO23" i="19"/>
  <c r="AI23" i="19"/>
  <c r="AI25" i="22"/>
  <c r="AO25" i="22"/>
  <c r="AI26" i="22"/>
  <c r="AO26" i="22"/>
  <c r="I5" i="21"/>
  <c r="I29" i="21" s="1"/>
  <c r="H29" i="21"/>
  <c r="AO24" i="22"/>
  <c r="AI24" i="22"/>
  <c r="AO24" i="19"/>
  <c r="AI24" i="19"/>
  <c r="B5" i="15"/>
  <c r="O5" i="12"/>
  <c r="B5" i="13"/>
  <c r="K31" i="21"/>
  <c r="S20" i="5"/>
  <c r="K3" i="12"/>
  <c r="Q34" i="13" l="1"/>
  <c r="N5" i="3"/>
  <c r="Q5" i="3" s="1"/>
  <c r="S5" i="13"/>
  <c r="AI5" i="13" s="1"/>
  <c r="N5" i="13"/>
  <c r="E5" i="13"/>
  <c r="B5" i="22"/>
  <c r="B5" i="19"/>
  <c r="U5" i="12"/>
  <c r="R5" i="12"/>
  <c r="H5" i="3"/>
  <c r="K5" i="3" s="1"/>
  <c r="AA5" i="12"/>
  <c r="AD5" i="12" s="1"/>
  <c r="H5" i="9"/>
  <c r="AA34" i="15"/>
  <c r="N5" i="15"/>
  <c r="E5" i="15"/>
  <c r="R5" i="15"/>
  <c r="K27" i="12"/>
  <c r="L27" i="12" s="1"/>
  <c r="L3" i="12"/>
  <c r="O3" i="12" s="1"/>
  <c r="Z5" i="19" l="1"/>
  <c r="E5" i="19"/>
  <c r="N5" i="19"/>
  <c r="AE34" i="15"/>
  <c r="AH34" i="15" s="1"/>
  <c r="E5" i="22"/>
  <c r="Z5" i="22"/>
  <c r="N5" i="22"/>
  <c r="AF34" i="15"/>
  <c r="AD34" i="15"/>
  <c r="AG34" i="15" s="1"/>
  <c r="X5" i="13"/>
  <c r="AN5" i="13"/>
  <c r="X5" i="12"/>
  <c r="K5" i="9"/>
  <c r="U34" i="13"/>
  <c r="T34" i="13"/>
  <c r="N5" i="9"/>
  <c r="Y34" i="13"/>
  <c r="V34" i="13"/>
  <c r="X34" i="13" s="1"/>
  <c r="AA3" i="12"/>
  <c r="U3" i="12"/>
  <c r="B3" i="19"/>
  <c r="N3" i="19" s="1"/>
  <c r="AF3" i="19" s="1"/>
  <c r="B3" i="22"/>
  <c r="B3" i="15"/>
  <c r="AA32" i="15" s="1"/>
  <c r="B3" i="13"/>
  <c r="AF5" i="22" l="1"/>
  <c r="AL5" i="22"/>
  <c r="AC5" i="22"/>
  <c r="Q5" i="22"/>
  <c r="W34" i="13"/>
  <c r="Q5" i="9"/>
  <c r="AL5" i="19"/>
  <c r="AF5" i="19"/>
  <c r="AF27" i="19" s="1"/>
  <c r="AC5" i="19"/>
  <c r="Q5" i="19"/>
  <c r="Q32" i="13"/>
  <c r="S3" i="13"/>
  <c r="N3" i="13"/>
  <c r="AN3" i="13" s="1"/>
  <c r="B27" i="19"/>
  <c r="E27" i="19" s="1"/>
  <c r="Z3" i="19"/>
  <c r="Z27" i="19" s="1"/>
  <c r="E3" i="19"/>
  <c r="Q3" i="19" s="1"/>
  <c r="Z3" i="22"/>
  <c r="Z27" i="22" s="1"/>
  <c r="B27" i="22"/>
  <c r="E27" i="22" s="1"/>
  <c r="E3" i="22"/>
  <c r="N3" i="22"/>
  <c r="AL3" i="19"/>
  <c r="N27" i="19"/>
  <c r="AF32" i="15"/>
  <c r="AA56" i="15"/>
  <c r="AD32" i="15"/>
  <c r="AG32" i="15" s="1"/>
  <c r="R3" i="15"/>
  <c r="R27" i="15" s="1"/>
  <c r="N3" i="3"/>
  <c r="N27" i="3" s="1"/>
  <c r="Q27" i="3" s="1"/>
  <c r="H3" i="3"/>
  <c r="H3" i="9"/>
  <c r="H27" i="9" s="1"/>
  <c r="J4" i="5" s="1"/>
  <c r="R3" i="12"/>
  <c r="X3" i="12" s="1"/>
  <c r="X27" i="12" s="1"/>
  <c r="O27" i="12"/>
  <c r="B27" i="13"/>
  <c r="E3" i="13"/>
  <c r="E27" i="13" s="1"/>
  <c r="B27" i="15"/>
  <c r="N3" i="15"/>
  <c r="AE32" i="15" s="1"/>
  <c r="AH32" i="15" s="1"/>
  <c r="AH56" i="15" s="1"/>
  <c r="M23" i="5" s="1"/>
  <c r="E3" i="15"/>
  <c r="E27" i="15" s="1"/>
  <c r="AL27" i="19" l="1"/>
  <c r="N32" i="19" s="1"/>
  <c r="N35" i="19" s="1"/>
  <c r="X3" i="13"/>
  <c r="AO5" i="22"/>
  <c r="AI5" i="22"/>
  <c r="AO5" i="19"/>
  <c r="AI5" i="19"/>
  <c r="U32" i="13"/>
  <c r="N3" i="9"/>
  <c r="AC3" i="19"/>
  <c r="AC27" i="19" s="1"/>
  <c r="AF3" i="22"/>
  <c r="AF27" i="22" s="1"/>
  <c r="N40" i="22" s="1"/>
  <c r="N27" i="22"/>
  <c r="AL3" i="22"/>
  <c r="AL27" i="22" s="1"/>
  <c r="N42" i="22" s="1"/>
  <c r="AC3" i="22"/>
  <c r="AC27" i="22" s="1"/>
  <c r="Q3" i="22"/>
  <c r="Q27" i="19"/>
  <c r="AI3" i="19"/>
  <c r="AO3" i="19"/>
  <c r="Y32" i="13"/>
  <c r="Y56" i="13" s="1"/>
  <c r="F23" i="5" s="1"/>
  <c r="AF56" i="15"/>
  <c r="M16" i="5" s="1"/>
  <c r="AG56" i="15"/>
  <c r="M17" i="5" s="1"/>
  <c r="AD56" i="15"/>
  <c r="Q33" i="15"/>
  <c r="N27" i="15"/>
  <c r="O27" i="15" s="1"/>
  <c r="R33" i="15"/>
  <c r="O4" i="15"/>
  <c r="O12" i="15"/>
  <c r="O20" i="15"/>
  <c r="O5" i="15"/>
  <c r="O14" i="15"/>
  <c r="O6" i="15"/>
  <c r="O7" i="15"/>
  <c r="O15" i="15"/>
  <c r="O23" i="15"/>
  <c r="O8" i="15"/>
  <c r="O16" i="15"/>
  <c r="O24" i="15"/>
  <c r="O18" i="15"/>
  <c r="O9" i="15"/>
  <c r="O17" i="15"/>
  <c r="O25" i="15"/>
  <c r="O10" i="15"/>
  <c r="O11" i="15"/>
  <c r="O19" i="15"/>
  <c r="O3" i="15"/>
  <c r="O13" i="15"/>
  <c r="O21" i="15"/>
  <c r="O22" i="15"/>
  <c r="V32" i="13"/>
  <c r="X32" i="13" s="1"/>
  <c r="X56" i="13" s="1"/>
  <c r="Q3" i="3"/>
  <c r="T32" i="13"/>
  <c r="Q56" i="13"/>
  <c r="U56" i="13" s="1"/>
  <c r="AD3" i="12"/>
  <c r="AA27" i="12"/>
  <c r="K3" i="3"/>
  <c r="H27" i="3"/>
  <c r="AI3" i="13"/>
  <c r="S27" i="13"/>
  <c r="N27" i="13"/>
  <c r="C16" i="5" s="1"/>
  <c r="AT2" i="20" s="1"/>
  <c r="K3" i="9"/>
  <c r="K27" i="9" s="1"/>
  <c r="M4" i="5" s="1"/>
  <c r="R27" i="12"/>
  <c r="U27" i="12"/>
  <c r="AO27" i="19" l="1"/>
  <c r="AI27" i="19"/>
  <c r="N32" i="22"/>
  <c r="N35" i="22" s="1"/>
  <c r="AI3" i="22"/>
  <c r="AI27" i="22" s="1"/>
  <c r="Q40" i="22" s="1"/>
  <c r="AO3" i="22"/>
  <c r="AO27" i="22" s="1"/>
  <c r="Q42" i="22" s="1"/>
  <c r="Q27" i="22"/>
  <c r="N43" i="22"/>
  <c r="AE56" i="15"/>
  <c r="S33" i="15"/>
  <c r="V32" i="15" s="1"/>
  <c r="AT3" i="15" s="1"/>
  <c r="C15" i="5"/>
  <c r="C19" i="5" s="1"/>
  <c r="F15" i="5"/>
  <c r="M15" i="5" s="1"/>
  <c r="M19" i="5" s="1"/>
  <c r="P33" i="15"/>
  <c r="Q34" i="15" s="1"/>
  <c r="O26" i="15"/>
  <c r="AL3" i="15"/>
  <c r="W32" i="13"/>
  <c r="W56" i="13" s="1"/>
  <c r="F17" i="5" s="1"/>
  <c r="Q3" i="9"/>
  <c r="Q27" i="9" s="1"/>
  <c r="F13" i="5" s="1"/>
  <c r="M13" i="5" s="1"/>
  <c r="V56" i="13"/>
  <c r="F16" i="5" s="1"/>
  <c r="F21" i="5"/>
  <c r="T56" i="13"/>
  <c r="J5" i="5"/>
  <c r="K27" i="3"/>
  <c r="M5" i="5" s="1"/>
  <c r="J7" i="5"/>
  <c r="AS9" i="20" s="1"/>
  <c r="AD27" i="12"/>
  <c r="M7" i="5" s="1"/>
  <c r="AS12" i="20" s="1"/>
  <c r="M8" i="5"/>
  <c r="AS19" i="20" s="1"/>
  <c r="J8" i="5"/>
  <c r="AS16" i="20" s="1"/>
  <c r="AQ3" i="15"/>
  <c r="X27" i="13"/>
  <c r="C21" i="5" s="1"/>
  <c r="AN27" i="13"/>
  <c r="C17" i="5" s="1"/>
  <c r="AT9" i="20" s="1"/>
  <c r="N27" i="9"/>
  <c r="C13" i="5" s="1"/>
  <c r="J13" i="5" s="1"/>
  <c r="AI27" i="13"/>
  <c r="C23" i="5" s="1"/>
  <c r="Q32" i="19" l="1"/>
  <c r="Q35" i="19" s="1"/>
  <c r="AU12" i="20"/>
  <c r="AT12" i="20"/>
  <c r="Q32" i="22"/>
  <c r="Q35" i="22" s="1"/>
  <c r="Q43" i="22"/>
  <c r="AU5" i="20"/>
  <c r="AT5" i="20"/>
  <c r="Q9" i="5"/>
  <c r="Q10" i="5" s="1"/>
  <c r="F19" i="5"/>
  <c r="T9" i="5"/>
  <c r="T10" i="5" s="1"/>
  <c r="R34" i="15"/>
  <c r="S34" i="15" s="1"/>
  <c r="V33" i="15" s="1"/>
  <c r="W3" i="15"/>
  <c r="AO3" i="15" s="1"/>
  <c r="AB3" i="15"/>
  <c r="C24" i="5"/>
  <c r="AT16" i="20" s="1"/>
  <c r="F24" i="5"/>
  <c r="AT19" i="20" s="1"/>
  <c r="C14" i="5"/>
  <c r="C20" i="5" s="1"/>
  <c r="J6" i="5"/>
  <c r="AS2" i="20" s="1"/>
  <c r="AQ4" i="15"/>
  <c r="P34" i="15" l="1"/>
  <c r="Q35" i="15" s="1"/>
  <c r="AL4" i="15"/>
  <c r="W4" i="15"/>
  <c r="AO4" i="15" s="1"/>
  <c r="AB4" i="15"/>
  <c r="AT4" i="15"/>
  <c r="J14" i="5"/>
  <c r="M6" i="5"/>
  <c r="AS5" i="20" s="1"/>
  <c r="F14" i="5"/>
  <c r="F20" i="5" s="1"/>
  <c r="AQ5" i="15"/>
  <c r="R35" i="15" l="1"/>
  <c r="S35" i="15" s="1"/>
  <c r="V34" i="15" s="1"/>
  <c r="M14" i="5"/>
  <c r="M20" i="5" s="1"/>
  <c r="AQ6" i="15"/>
  <c r="AL5" i="15" l="1"/>
  <c r="P35" i="15"/>
  <c r="R36" i="15" s="1"/>
  <c r="W5" i="15"/>
  <c r="AO5" i="15" s="1"/>
  <c r="AB5" i="15"/>
  <c r="AT5" i="15"/>
  <c r="AQ7" i="15"/>
  <c r="Q36" i="15" l="1"/>
  <c r="AL6" i="15" s="1"/>
  <c r="AQ8" i="15"/>
  <c r="S36" i="15" l="1"/>
  <c r="V35" i="15" s="1"/>
  <c r="W6" i="15" s="1"/>
  <c r="AO6" i="15" s="1"/>
  <c r="P36" i="15"/>
  <c r="R37" i="15" s="1"/>
  <c r="AQ9" i="15"/>
  <c r="AT6" i="15" l="1"/>
  <c r="AB6" i="15"/>
  <c r="Q37" i="15"/>
  <c r="P37" i="15" s="1"/>
  <c r="R38" i="15" s="1"/>
  <c r="AQ10" i="15"/>
  <c r="AL7" i="15" l="1"/>
  <c r="S37" i="15"/>
  <c r="V36" i="15" s="1"/>
  <c r="W7" i="15" s="1"/>
  <c r="AO7" i="15" s="1"/>
  <c r="Q38" i="15"/>
  <c r="AQ11" i="15"/>
  <c r="AT7" i="15" l="1"/>
  <c r="AB7" i="15"/>
  <c r="S38" i="15"/>
  <c r="V37" i="15" s="1"/>
  <c r="AL8" i="15"/>
  <c r="P38" i="15"/>
  <c r="R39" i="15" s="1"/>
  <c r="AQ12" i="15"/>
  <c r="W8" i="15" l="1"/>
  <c r="AO8" i="15" s="1"/>
  <c r="AT8" i="15"/>
  <c r="AB8" i="15"/>
  <c r="Q39" i="15"/>
  <c r="AQ13" i="15"/>
  <c r="S39" i="15" l="1"/>
  <c r="V38" i="15" s="1"/>
  <c r="AL9" i="15"/>
  <c r="P39" i="15"/>
  <c r="R40" i="15" s="1"/>
  <c r="AQ14" i="15"/>
  <c r="W9" i="15" l="1"/>
  <c r="AO9" i="15" s="1"/>
  <c r="AT9" i="15"/>
  <c r="AB9" i="15"/>
  <c r="Q40" i="15"/>
  <c r="AQ15" i="15"/>
  <c r="S40" i="15" l="1"/>
  <c r="V39" i="15" s="1"/>
  <c r="AL10" i="15"/>
  <c r="P40" i="15"/>
  <c r="R41" i="15" s="1"/>
  <c r="AQ16" i="15"/>
  <c r="W10" i="15" l="1"/>
  <c r="AO10" i="15" s="1"/>
  <c r="AT10" i="15"/>
  <c r="AB10" i="15"/>
  <c r="Q41" i="15"/>
  <c r="AL11" i="15" s="1"/>
  <c r="AQ17" i="15"/>
  <c r="S41" i="15" l="1"/>
  <c r="V40" i="15" s="1"/>
  <c r="P41" i="15"/>
  <c r="AQ18" i="15"/>
  <c r="W11" i="15" l="1"/>
  <c r="AO11" i="15" s="1"/>
  <c r="AT11" i="15"/>
  <c r="AB11" i="15"/>
  <c r="Q42" i="15"/>
  <c r="R42" i="15"/>
  <c r="AQ19" i="15"/>
  <c r="AL12" i="15" l="1"/>
  <c r="S42" i="15"/>
  <c r="V41" i="15" s="1"/>
  <c r="P42" i="15"/>
  <c r="R43" i="15" s="1"/>
  <c r="AQ20" i="15"/>
  <c r="W12" i="15" l="1"/>
  <c r="AO12" i="15" s="1"/>
  <c r="AB12" i="15"/>
  <c r="AT12" i="15"/>
  <c r="Q43" i="15"/>
  <c r="AQ21" i="15"/>
  <c r="S43" i="15" l="1"/>
  <c r="V42" i="15" s="1"/>
  <c r="AL13" i="15"/>
  <c r="P43" i="15"/>
  <c r="R44" i="15" s="1"/>
  <c r="AQ22" i="15"/>
  <c r="W13" i="15" l="1"/>
  <c r="AO13" i="15" s="1"/>
  <c r="AB13" i="15"/>
  <c r="AT13" i="15"/>
  <c r="Q44" i="15"/>
  <c r="AQ23" i="15"/>
  <c r="S44" i="15" l="1"/>
  <c r="V43" i="15" s="1"/>
  <c r="AL14" i="15"/>
  <c r="P44" i="15"/>
  <c r="R45" i="15" s="1"/>
  <c r="AQ24" i="15"/>
  <c r="W14" i="15" l="1"/>
  <c r="AO14" i="15" s="1"/>
  <c r="AB14" i="15"/>
  <c r="AT14" i="15"/>
  <c r="Q45" i="15"/>
  <c r="AQ25" i="15"/>
  <c r="S45" i="15" l="1"/>
  <c r="V44" i="15" s="1"/>
  <c r="AL15" i="15"/>
  <c r="P45" i="15"/>
  <c r="AI27" i="15"/>
  <c r="AQ26" i="15"/>
  <c r="Y27" i="15"/>
  <c r="W15" i="15" l="1"/>
  <c r="AO15" i="15" s="1"/>
  <c r="AB15" i="15"/>
  <c r="AT15" i="15"/>
  <c r="Q46" i="15"/>
  <c r="R46" i="15"/>
  <c r="AQ27" i="15"/>
  <c r="L23" i="5" s="1"/>
  <c r="AD27" i="15"/>
  <c r="L21" i="5" s="1"/>
  <c r="AV27" i="15"/>
  <c r="L17" i="5" s="1"/>
  <c r="AU11" i="20" s="1"/>
  <c r="S14" i="5" l="1"/>
  <c r="S15" i="5" s="1"/>
  <c r="L24" i="5"/>
  <c r="AU18" i="20" s="1"/>
  <c r="AL16" i="15"/>
  <c r="P46" i="15"/>
  <c r="R47" i="15" s="1"/>
  <c r="S46" i="15"/>
  <c r="V45" i="15" s="1"/>
  <c r="Q47" i="15" l="1"/>
  <c r="S47" i="15" s="1"/>
  <c r="V46" i="15" s="1"/>
  <c r="W16" i="15"/>
  <c r="AO16" i="15" s="1"/>
  <c r="AT16" i="15"/>
  <c r="AB16" i="15"/>
  <c r="P47" i="15" l="1"/>
  <c r="Q48" i="15" s="1"/>
  <c r="AL17" i="15"/>
  <c r="W17" i="15"/>
  <c r="AO17" i="15" s="1"/>
  <c r="AT17" i="15"/>
  <c r="AB17" i="15"/>
  <c r="R48" i="15"/>
  <c r="AL18" i="15" l="1"/>
  <c r="P48" i="15"/>
  <c r="R49" i="15" s="1"/>
  <c r="S48" i="15"/>
  <c r="V47" i="15" s="1"/>
  <c r="W18" i="15" l="1"/>
  <c r="AO18" i="15" s="1"/>
  <c r="AT18" i="15"/>
  <c r="AB18" i="15"/>
  <c r="Q49" i="15"/>
  <c r="S49" i="15" l="1"/>
  <c r="V48" i="15" s="1"/>
  <c r="W19" i="15" s="1"/>
  <c r="AO19" i="15" s="1"/>
  <c r="AL19" i="15"/>
  <c r="P49" i="15"/>
  <c r="R50" i="15" s="1"/>
  <c r="AT19" i="15" l="1"/>
  <c r="AB19" i="15"/>
  <c r="Q50" i="15"/>
  <c r="P50" i="15" l="1"/>
  <c r="Q51" i="15" s="1"/>
  <c r="AL20" i="15"/>
  <c r="S50" i="15"/>
  <c r="V49" i="15" s="1"/>
  <c r="R51" i="15" l="1"/>
  <c r="AL21" i="15" s="1"/>
  <c r="W20" i="15"/>
  <c r="AO20" i="15" s="1"/>
  <c r="AB20" i="15"/>
  <c r="AT20" i="15"/>
  <c r="S51" i="15" l="1"/>
  <c r="V50" i="15" s="1"/>
  <c r="W21" i="15" s="1"/>
  <c r="AO21" i="15" s="1"/>
  <c r="P51" i="15"/>
  <c r="R52" i="15" s="1"/>
  <c r="Q52" i="15" l="1"/>
  <c r="AL22" i="15" s="1"/>
  <c r="AB21" i="15"/>
  <c r="AT21" i="15"/>
  <c r="P52" i="15" l="1"/>
  <c r="Q53" i="15" s="1"/>
  <c r="S52" i="15"/>
  <c r="V51" i="15" s="1"/>
  <c r="W22" i="15" s="1"/>
  <c r="AO22" i="15" s="1"/>
  <c r="R53" i="15"/>
  <c r="AL23" i="15" s="1"/>
  <c r="AB22" i="15" l="1"/>
  <c r="AT22" i="15"/>
  <c r="S53" i="15"/>
  <c r="V52" i="15" s="1"/>
  <c r="W23" i="15" s="1"/>
  <c r="AO23" i="15" s="1"/>
  <c r="P53" i="15"/>
  <c r="AB23" i="15" l="1"/>
  <c r="AT23" i="15"/>
  <c r="R54" i="15"/>
  <c r="Q54" i="15"/>
  <c r="P54" i="15" l="1"/>
  <c r="Q55" i="15" s="1"/>
  <c r="AL24" i="15"/>
  <c r="S54" i="15"/>
  <c r="V53" i="15" s="1"/>
  <c r="R55" i="15" l="1"/>
  <c r="AL25" i="15" s="1"/>
  <c r="W24" i="15"/>
  <c r="AO24" i="15" s="1"/>
  <c r="AT24" i="15"/>
  <c r="AB24" i="15"/>
  <c r="S55" i="15" l="1"/>
  <c r="V54" i="15" s="1"/>
  <c r="AB25" i="15" s="1"/>
  <c r="P55" i="15"/>
  <c r="R56" i="15" s="1"/>
  <c r="R57" i="15" s="1"/>
  <c r="W25" i="15" l="1"/>
  <c r="AO25" i="15" s="1"/>
  <c r="AT25" i="15"/>
  <c r="Q56" i="15"/>
  <c r="Q57" i="15" s="1"/>
  <c r="S56" i="15" l="1"/>
  <c r="S57" i="15" s="1"/>
  <c r="V56" i="15" s="1"/>
  <c r="J16" i="5" s="1"/>
  <c r="J20" i="5" s="1"/>
  <c r="AL26" i="15"/>
  <c r="P56" i="15"/>
  <c r="V55" i="15" l="1"/>
  <c r="W26" i="15" s="1"/>
  <c r="AO26" i="15" s="1"/>
  <c r="AO27" i="15" s="1"/>
  <c r="J23" i="5" s="1"/>
  <c r="AU2" i="20"/>
  <c r="AL27" i="15"/>
  <c r="W27" i="15" l="1"/>
  <c r="J15" i="5" s="1"/>
  <c r="J19" i="5" s="1"/>
  <c r="AT26" i="15"/>
  <c r="AT27" i="15" s="1"/>
  <c r="J17" i="5" s="1"/>
  <c r="AU9" i="20" s="1"/>
  <c r="AB26" i="15"/>
  <c r="AB27" i="15" s="1"/>
  <c r="J21" i="5" s="1"/>
  <c r="Q14" i="5" s="1"/>
  <c r="Q15" i="5" s="1"/>
  <c r="M21" i="5" l="1"/>
  <c r="T14" i="5" s="1"/>
  <c r="T15" i="5" s="1"/>
  <c r="J24" i="5"/>
  <c r="AU16" i="20" s="1"/>
  <c r="M24" i="5"/>
  <c r="AU19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7F4B6E7-FB53-493C-99EC-615DAD0CAFE1}" keepAlive="1" name="Query - building1_data" description="Connection to the 'building1_data' query in the workbook." type="5" refreshedVersion="8" background="1" saveData="1">
    <dbPr connection="Provider=Microsoft.Mashup.OleDb.1;Data Source=$Workbook$;Location=building1_data;Extended Properties=&quot;&quot;" command="SELECT * FROM [building1_data]"/>
  </connection>
  <connection id="2" xr16:uid="{D1B5E72F-9651-42D6-856D-8FADA8D73CD7}" keepAlive="1" name="Query - building1_data (2)" description="Connection to the 'building1_data (2)' query in the workbook." type="5" refreshedVersion="0" background="1" saveData="1">
    <dbPr connection="Provider=Microsoft.Mashup.OleDb.1;Data Source=$Workbook$;Location=&quot;building1_data (2)&quot;;Extended Properties=&quot;&quot;" command="SELECT * FROM [building1_data (2)]"/>
  </connection>
  <connection id="3" xr16:uid="{5C9972B4-B692-4A78-B3B0-B988CD3B731A}" keepAlive="1" name="Query - Class12_data" description="Connection to the 'Class12_data' query in the workbook." type="5" refreshedVersion="8" background="1" saveData="1">
    <dbPr connection="Provider=Microsoft.Mashup.OleDb.1;Data Source=$Workbook$;Location=Class12_data;Extended Properties=&quot;&quot;" command="SELECT * FROM [Class12_data]"/>
  </connection>
  <connection id="4" xr16:uid="{99DFBBC1-0614-46E8-A3BD-6A1BEDA2C429}" keepAlive="1" name="Query - Class4" description="Connection to the 'Class4' query in the workbook." type="5" refreshedVersion="8" background="1" saveData="1">
    <dbPr connection="Provider=Microsoft.Mashup.OleDb.1;Data Source=$Workbook$;Location=Class4;Extended Properties=&quot;&quot;" command="SELECT * FROM [Class4]"/>
  </connection>
  <connection id="5" xr16:uid="{93B506F1-235F-4548-A9D7-B7F8AED76CCD}" keepAlive="1" name="Query - Class4 (2)" description="Connection to the 'Class4 (2)' query in the workbook." type="5" refreshedVersion="0" background="1" saveData="1">
    <dbPr connection="Provider=Microsoft.Mashup.OleDb.1;Data Source=$Workbook$;Location=&quot;Class4 (2)&quot;;Extended Properties=&quot;&quot;" command="SELECT * FROM [Class4 (2)]"/>
  </connection>
  <connection id="6" xr16:uid="{E6C93BA2-BEF4-4C7F-800C-E5A6D5B49D9D}" keepAlive="1" name="Query - Class4 (3)" description="Connection to the 'Class4 (3)' query in the workbook." type="5" refreshedVersion="8" background="1" saveData="1">
    <dbPr connection="Provider=Microsoft.Mashup.OleDb.1;Data Source=$Workbook$;Location=&quot;Class4 (3)&quot;;Extended Properties=&quot;&quot;" command="SELECT * FROM [Class4 (3)]"/>
  </connection>
  <connection id="7" xr16:uid="{784E176D-F9BB-4E7E-BD01-BF2E3C497B10}" keepAlive="1" name="Query - Class4 (4)" description="Connection to the 'Class4 (4)' query in the workbook." type="5" refreshedVersion="8" background="1" saveData="1">
    <dbPr connection="Provider=Microsoft.Mashup.OleDb.1;Data Source=$Workbook$;Location=&quot;Class4 (4)&quot;;Extended Properties=&quot;&quot;" command="SELECT * FROM [Class4 (4)]"/>
  </connection>
  <connection id="8" xr16:uid="{ECD0747A-8313-40E0-9A01-03D728C0B466}" keepAlive="1" name="Query - climate_data" description="Connection to the 'climate_data' query in the workbook." type="5" refreshedVersion="8" background="1" saveData="1">
    <dbPr connection="Provider=Microsoft.Mashup.OleDb.1;Data Source=$Workbook$;Location=climate_data;Extended Properties=&quot;&quot;" command="SELECT * FROM [climate_data]"/>
  </connection>
  <connection id="9" xr16:uid="{47122DD9-7FC6-4A5B-80D3-0BB7166F552B}" keepAlive="1" name="Query - climate_data (1)" description="Connection to the 'climate_data (1)' query in the workbook." type="5" refreshedVersion="0" background="1" saveData="1">
    <dbPr connection="Provider=Microsoft.Mashup.OleDb.1;Data Source=$Workbook$;Location=&quot;climate_data (1)&quot;;Extended Properties=&quot;&quot;" command="SELECT * FROM [climate_data (1)]"/>
  </connection>
  <connection id="10" xr16:uid="{6344908F-1760-4153-B347-CF997E1E446F}" keepAlive="1" name="Query - climate_data (2)" description="Connection to the 'climate_data (2)' query in the workbook." type="5" refreshedVersion="8" background="1" saveData="1">
    <dbPr connection="Provider=Microsoft.Mashup.OleDb.1;Data Source=$Workbook$;Location=&quot;climate_data (2)&quot;;Extended Properties=&quot;&quot;" command="SELECT * FROM [climate_data (2)]"/>
  </connection>
  <connection id="11" xr16:uid="{D9CAC9D6-E662-4CF1-BC67-22577E5CDA31}" keepAlive="1" name="Query - climate_data (3)" description="Connection to the 'climate_data (3)' query in the workbook." type="5" refreshedVersion="8" background="1" saveData="1">
    <dbPr connection="Provider=Microsoft.Mashup.OleDb.1;Data Source=$Workbook$;Location=&quot;climate_data (3)&quot;;Extended Properties=&quot;&quot;" command="SELECT * FROM [climate_data (3)]"/>
  </connection>
  <connection id="12" xr16:uid="{C1DB343B-DDBA-441C-98B0-B76BB870DDA9}" keepAlive="1" name="Query - climate_data (4)" description="Connection to the 'climate_data (4)' query in the workbook." type="5" refreshedVersion="8" background="1" saveData="1">
    <dbPr connection="Provider=Microsoft.Mashup.OleDb.1;Data Source=$Workbook$;Location=&quot;climate_data (4)&quot;;Extended Properties=&quot;&quot;" command="SELECT * FROM [climate_data (4)]"/>
  </connection>
  <connection id="13" xr16:uid="{1F3EC256-F91E-4E0A-BE9D-4939364BD1F3}" keepAlive="1" name="Query - climate_data (5)" description="Connection to the 'climate_data (5)' query in the workbook." type="5" refreshedVersion="8" background="1" saveData="1">
    <dbPr connection="Provider=Microsoft.Mashup.OleDb.1;Data Source=$Workbook$;Location=&quot;climate_data (5)&quot;;Extended Properties=&quot;&quot;" command="SELECT * FROM [climate_data (5)]"/>
  </connection>
  <connection id="14" xr16:uid="{B682AE62-1100-4734-AE66-12775CBDF676}" keepAlive="1" name="Query - climate_data (6)" description="Connection to the 'climate_data (6)' query in the workbook." type="5" refreshedVersion="0" background="1">
    <dbPr connection="Provider=Microsoft.Mashup.OleDb.1;Data Source=$Workbook$;Location=&quot;climate_data (6)&quot;;Extended Properties=&quot;&quot;" command="SELECT * FROM [climate_data (6)]"/>
  </connection>
  <connection id="15" xr16:uid="{51B38054-F9E2-4EF0-9A67-DF918844FD17}" keepAlive="1" name="Query - climate_data (8)" description="Connection to the 'climate_data (8)' query in the workbook." type="5" refreshedVersion="0" background="1" saveData="1">
    <dbPr connection="Provider=Microsoft.Mashup.OleDb.1;Data Source=$Workbook$;Location=&quot;climate_data (8)&quot;;Extended Properties=&quot;&quot;" command="SELECT * FROM [climate_data (8)]"/>
  </connection>
  <connection id="16" xr16:uid="{5486E7F9-8D2F-404A-AD60-F103C0C6CA40}" keepAlive="1" name="Query - climate_data (9)" description="Connection to the 'climate_data (9)' query in the workbook." type="5" refreshedVersion="0" background="1" saveData="1">
    <dbPr connection="Provider=Microsoft.Mashup.OleDb.1;Data Source=$Workbook$;Location=&quot;climate_data (9)&quot;;Extended Properties=&quot;&quot;" command="SELECT * FROM [climate_data (9)]"/>
  </connection>
  <connection id="17" xr16:uid="{1682B7ED-DA5D-45C6-B453-50C4AAD4A05C}" keepAlive="1" name="Query - ev_info" description="Connection to the 'ev_info' query in the workbook." type="5" refreshedVersion="8" background="1" saveData="1">
    <dbPr connection="Provider=Microsoft.Mashup.OleDb.1;Data Source=$Workbook$;Location=ev_info;Extended Properties=&quot;&quot;" command="SELECT * FROM [ev_info]"/>
  </connection>
  <connection id="18" xr16:uid="{60783BDC-7CF7-476E-B6F0-0F113869D980}" keepAlive="1" name="Query - ev_info (1)" description="Connection to the 'ev_info (1)' query in the workbook." type="5" refreshedVersion="0" background="1" saveData="1">
    <dbPr connection="Provider=Microsoft.Mashup.OleDb.1;Data Source=$Workbook$;Location=&quot;ev_info (1)&quot;;Extended Properties=&quot;&quot;" command="SELECT * FROM [ev_info (1)]"/>
  </connection>
  <connection id="19" xr16:uid="{06212112-73DB-43B0-8B7C-3C6E24B79771}" keepAlive="1" name="Query - ev_info (2)" description="Connection to the 'ev_info (2)' query in the workbook." type="5" refreshedVersion="8" background="1" saveData="1">
    <dbPr connection="Provider=Microsoft.Mashup.OleDb.1;Data Source=$Workbook$;Location=&quot;ev_info (2)&quot;;Extended Properties=&quot;&quot;" command="SELECT * FROM [ev_info (2)]"/>
  </connection>
  <connection id="20" xr16:uid="{B4C17500-9F09-46EF-B213-85D42F9F12C5}" keepAlive="1" name="Query - final_electricity (1)" description="Connection to the 'final_electricity (1)' query in the workbook." type="5" refreshedVersion="8" background="1" saveData="1">
    <dbPr connection="Provider=Microsoft.Mashup.OleDb.1;Data Source=$Workbook$;Location=&quot;final_electricity (1)&quot;;Extended Properties=&quot;&quot;" command="SELECT * FROM [final_electricity (1)]"/>
  </connection>
  <connection id="21" xr16:uid="{260CC3BE-C020-45F9-8AA7-BDFE5D79324B}" keepAlive="1" name="Query - final_electricity (10)" description="Connection to the 'final_electricity (10)' query in the workbook." type="5" refreshedVersion="8" background="1" saveData="1">
    <dbPr connection="Provider=Microsoft.Mashup.OleDb.1;Data Source=$Workbook$;Location=&quot;final_electricity (10)&quot;;Extended Properties=&quot;&quot;" command="SELECT * FROM [final_electricity (10)]"/>
  </connection>
  <connection id="22" xr16:uid="{0DBF5221-933E-4A59-BF28-F429784E3713}" keepAlive="1" name="Query - final_electricity (11)" description="Connection to the 'final_electricity (11)' query in the workbook." type="5" refreshedVersion="0" background="1" saveData="1">
    <dbPr connection="Provider=Microsoft.Mashup.OleDb.1;Data Source=$Workbook$;Location=&quot;final_electricity (11)&quot;;Extended Properties=&quot;&quot;" command="SELECT * FROM [final_electricity (11)]"/>
  </connection>
  <connection id="23" xr16:uid="{124B0BDE-85E9-47B3-BDB8-278F1D92DF31}" keepAlive="1" name="Query - final_electricity (12)" description="Connection to the 'final_electricity (12)' query in the workbook." type="5" refreshedVersion="0" background="1">
    <dbPr connection="Provider=Microsoft.Mashup.OleDb.1;Data Source=$Workbook$;Location=&quot;final_electricity (12)&quot;;Extended Properties=&quot;&quot;" command="SELECT * FROM [final_electricity (12)]"/>
  </connection>
  <connection id="24" xr16:uid="{903EB16C-1EC6-4FA1-A5AB-DF647F36FF45}" keepAlive="1" name="Query - final_electricity (13)" description="Connection to the 'final_electricity (13)' query in the workbook." type="5" refreshedVersion="8" background="1" saveData="1">
    <dbPr connection="Provider=Microsoft.Mashup.OleDb.1;Data Source=$Workbook$;Location=&quot;final_electricity (13)&quot;;Extended Properties=&quot;&quot;" command="SELECT * FROM [final_electricity (13)]"/>
  </connection>
  <connection id="25" xr16:uid="{8FABA222-27FF-4982-B352-96D777E174D3}" keepAlive="1" name="Query - final_electricity (14)" description="Connection to the 'final_electricity (14)' query in the workbook." type="5" refreshedVersion="8" background="1" saveData="1">
    <dbPr connection="Provider=Microsoft.Mashup.OleDb.1;Data Source=$Workbook$;Location=&quot;final_electricity (14)&quot;;Extended Properties=&quot;&quot;" command="SELECT * FROM [final_electricity (14)]"/>
  </connection>
  <connection id="26" xr16:uid="{20112E4E-E4E1-4300-82F1-67C1B62CE80E}" keepAlive="1" name="Query - final_electricity (15)" description="Connection to the 'final_electricity (15)' query in the workbook." type="5" refreshedVersion="8" background="1" saveData="1">
    <dbPr connection="Provider=Microsoft.Mashup.OleDb.1;Data Source=$Workbook$;Location=&quot;final_electricity (15)&quot;;Extended Properties=&quot;&quot;" command="SELECT * FROM [final_electricity (15)]"/>
  </connection>
  <connection id="27" xr16:uid="{441AB786-5B5E-4A28-9F49-2683EB4FEB1C}" keepAlive="1" name="Query - final_electricity (16)" description="Connection to the 'final_electricity (16)' query in the workbook." type="5" refreshedVersion="8" background="1" saveData="1">
    <dbPr connection="Provider=Microsoft.Mashup.OleDb.1;Data Source=$Workbook$;Location=&quot;final_electricity (16)&quot;;Extended Properties=&quot;&quot;" command="SELECT * FROM [final_electricity (16)]"/>
  </connection>
  <connection id="28" xr16:uid="{93DCD68B-18F4-48DF-B925-BD7F724FC481}" keepAlive="1" name="Query - final_electricity (17)" description="Connection to the 'final_electricity (17)' query in the workbook." type="5" refreshedVersion="8" background="1" saveData="1">
    <dbPr connection="Provider=Microsoft.Mashup.OleDb.1;Data Source=$Workbook$;Location=&quot;final_electricity (17)&quot;;Extended Properties=&quot;&quot;" command="SELECT * FROM [final_electricity (17)]"/>
  </connection>
  <connection id="29" xr16:uid="{9B0BA245-D976-48D5-A86B-B1DE083227D1}" keepAlive="1" name="Query - final_electricity (18)" description="Connection to the 'final_electricity (18)' query in the workbook." type="5" refreshedVersion="8" background="1" saveData="1">
    <dbPr connection="Provider=Microsoft.Mashup.OleDb.1;Data Source=$Workbook$;Location=&quot;final_electricity (18)&quot;;Extended Properties=&quot;&quot;" command="SELECT * FROM [final_electricity (18)]"/>
  </connection>
  <connection id="30" xr16:uid="{AD329428-148C-48AC-9451-BDD2B8865A9F}" keepAlive="1" name="Query - final_electricity (19)" description="Connection to the 'final_electricity (19)' query in the workbook." type="5" refreshedVersion="8" background="1" saveData="1">
    <dbPr connection="Provider=Microsoft.Mashup.OleDb.1;Data Source=$Workbook$;Location=&quot;final_electricity (19)&quot;;Extended Properties=&quot;&quot;" command="SELECT * FROM [final_electricity (19)]"/>
  </connection>
  <connection id="31" xr16:uid="{D6B9E038-6909-4C63-9578-B9B1C5FFE716}" keepAlive="1" name="Query - final_electricity (2)" description="Connection to the 'final_electricity (2)' query in the workbook." type="5" refreshedVersion="8" background="1" saveData="1">
    <dbPr connection="Provider=Microsoft.Mashup.OleDb.1;Data Source=$Workbook$;Location=&quot;final_electricity (2)&quot;;Extended Properties=&quot;&quot;" command="SELECT * FROM [final_electricity (2)]"/>
  </connection>
  <connection id="32" xr16:uid="{8AD296BF-7DD3-4E80-8A00-A42BAC5A0FA3}" keepAlive="1" name="Query - final_electricity (20)" description="Connection to the 'final_electricity (20)' query in the workbook." type="5" refreshedVersion="8" background="1" saveData="1">
    <dbPr connection="Provider=Microsoft.Mashup.OleDb.1;Data Source=$Workbook$;Location=&quot;final_electricity (20)&quot;;Extended Properties=&quot;&quot;" command="SELECT * FROM [final_electricity (20)]"/>
  </connection>
  <connection id="33" xr16:uid="{BF0D1550-6C9D-4405-90D6-F28E31FE2E7E}" keepAlive="1" name="Query - final_electricity (21)" description="Connection to the 'final_electricity (21)' query in the workbook." type="5" refreshedVersion="8" background="1" saveData="1">
    <dbPr connection="Provider=Microsoft.Mashup.OleDb.1;Data Source=$Workbook$;Location=&quot;final_electricity (21)&quot;;Extended Properties=&quot;&quot;" command="SELECT * FROM [final_electricity (21)]"/>
  </connection>
  <connection id="34" xr16:uid="{79B44CAE-88D7-4AEA-99EA-513317F32A2C}" keepAlive="1" name="Query - final_electricity (22)" description="Connection to the 'final_electricity (22)' query in the workbook." type="5" refreshedVersion="8" background="1" saveData="1">
    <dbPr connection="Provider=Microsoft.Mashup.OleDb.1;Data Source=$Workbook$;Location=&quot;final_electricity (22)&quot;;Extended Properties=&quot;&quot;" command="SELECT * FROM [final_electricity (22)]"/>
  </connection>
  <connection id="35" xr16:uid="{47A5692C-69AD-4946-91A1-DC582D2E81D8}" keepAlive="1" name="Query - final_electricity (23)" description="Connection to the 'final_electricity (23)' query in the workbook." type="5" refreshedVersion="8" background="1" saveData="1">
    <dbPr connection="Provider=Microsoft.Mashup.OleDb.1;Data Source=$Workbook$;Location=&quot;final_electricity (23)&quot;;Extended Properties=&quot;&quot;" command="SELECT * FROM [final_electricity (23)]"/>
  </connection>
  <connection id="36" xr16:uid="{24CC7983-BB89-4C03-95DF-0914AED0A6F6}" keepAlive="1" name="Query - final_electricity (24)" description="Connection to the 'final_electricity (24)' query in the workbook." type="5" refreshedVersion="8" background="1" saveData="1">
    <dbPr connection="Provider=Microsoft.Mashup.OleDb.1;Data Source=$Workbook$;Location=&quot;final_electricity (24)&quot;;Extended Properties=&quot;&quot;" command="SELECT * FROM [final_electricity (24)]"/>
  </connection>
  <connection id="37" xr16:uid="{E12F02A6-373B-4041-BDE2-34F7F3D0BE8D}" keepAlive="1" name="Query - final_electricity (25)" description="Connection to the 'final_electricity (25)' query in the workbook." type="5" refreshedVersion="8" background="1" saveData="1">
    <dbPr connection="Provider=Microsoft.Mashup.OleDb.1;Data Source=$Workbook$;Location=&quot;final_electricity (25)&quot;;Extended Properties=&quot;&quot;" command="SELECT * FROM [final_electricity (25)]"/>
  </connection>
  <connection id="38" xr16:uid="{A3A4659D-DC4A-48C0-869F-6DF6CF26DB58}" keepAlive="1" name="Query - final_electricity (26)" description="Connection to the 'final_electricity (26)' query in the workbook." type="5" refreshedVersion="8" background="1" saveData="1">
    <dbPr connection="Provider=Microsoft.Mashup.OleDb.1;Data Source=$Workbook$;Location=&quot;final_electricity (26)&quot;;Extended Properties=&quot;&quot;" command="SELECT * FROM [final_electricity (26)]"/>
  </connection>
  <connection id="39" xr16:uid="{7D801967-0E36-4AE0-AE6F-B6E55450DC5E}" keepAlive="1" name="Query - final_electricity (27)" description="Connection to the 'final_electricity (27)' query in the workbook." type="5" refreshedVersion="8" background="1" saveData="1">
    <dbPr connection="Provider=Microsoft.Mashup.OleDb.1;Data Source=$Workbook$;Location=&quot;final_electricity (27)&quot;;Extended Properties=&quot;&quot;" command="SELECT * FROM [final_electricity (27)]"/>
  </connection>
  <connection id="40" xr16:uid="{D1118236-9ECC-4F16-9AA8-6C6856993E72}" keepAlive="1" name="Query - final_electricity (28)" description="Connection to the 'final_electricity (28)' query in the workbook." type="5" refreshedVersion="8" background="1" saveData="1">
    <dbPr connection="Provider=Microsoft.Mashup.OleDb.1;Data Source=$Workbook$;Location=&quot;final_electricity (28)&quot;;Extended Properties=&quot;&quot;" command="SELECT * FROM [final_electricity (28)]"/>
  </connection>
  <connection id="41" xr16:uid="{A88C55B1-4063-409F-AF9A-33E8645FE46B}" keepAlive="1" name="Query - final_electricity (29)" description="Connection to the 'final_electricity (29)' query in the workbook." type="5" refreshedVersion="8" background="1" saveData="1">
    <dbPr connection="Provider=Microsoft.Mashup.OleDb.1;Data Source=$Workbook$;Location=&quot;final_electricity (29)&quot;;Extended Properties=&quot;&quot;" command="SELECT * FROM [final_electricity (29)]"/>
  </connection>
  <connection id="42" xr16:uid="{F93943A6-43A2-44EC-9DE3-8EA0265BBE21}" keepAlive="1" name="Query - final_electricity (3)" description="Connection to the 'final_electricity (3)' query in the workbook." type="5" refreshedVersion="8" background="1" saveData="1">
    <dbPr connection="Provider=Microsoft.Mashup.OleDb.1;Data Source=$Workbook$;Location=&quot;final_electricity (3)&quot;;Extended Properties=&quot;&quot;" command="SELECT * FROM [final_electricity (3)]"/>
  </connection>
  <connection id="43" xr16:uid="{FF72B483-D92F-41BC-9479-410548691F42}" keepAlive="1" name="Query - final_electricity (30)" description="Connection to the 'final_electricity (30)' query in the workbook." type="5" refreshedVersion="8" background="1" saveData="1">
    <dbPr connection="Provider=Microsoft.Mashup.OleDb.1;Data Source=$Workbook$;Location=&quot;final_electricity (30)&quot;;Extended Properties=&quot;&quot;" command="SELECT * FROM [final_electricity (30)]"/>
  </connection>
  <connection id="44" xr16:uid="{0FCCFDEE-9CAD-4548-826F-871CB2A6B785}" keepAlive="1" name="Query - final_electricity (31)" description="Connection to the 'final_electricity (31)' query in the workbook." type="5" refreshedVersion="8" background="1" saveData="1">
    <dbPr connection="Provider=Microsoft.Mashup.OleDb.1;Data Source=$Workbook$;Location=&quot;final_electricity (31)&quot;;Extended Properties=&quot;&quot;" command="SELECT * FROM [final_electricity (31)]"/>
  </connection>
  <connection id="45" xr16:uid="{6ABAE16D-3C95-487A-861E-843BEE081C76}" keepAlive="1" name="Query - final_electricity (32)" description="Connection to the 'final_electricity (32)' query in the workbook." type="5" refreshedVersion="8" background="1" saveData="1">
    <dbPr connection="Provider=Microsoft.Mashup.OleDb.1;Data Source=$Workbook$;Location=&quot;final_electricity (32)&quot;;Extended Properties=&quot;&quot;" command="SELECT * FROM [final_electricity (32)]"/>
  </connection>
  <connection id="46" xr16:uid="{0AE1251D-8579-4A71-BFD8-7A2B108602FB}" keepAlive="1" name="Query - final_electricity (33)" description="Connection to the 'final_electricity (33)' query in the workbook." type="5" refreshedVersion="8" background="1" saveData="1">
    <dbPr connection="Provider=Microsoft.Mashup.OleDb.1;Data Source=$Workbook$;Location=&quot;final_electricity (33)&quot;;Extended Properties=&quot;&quot;" command="SELECT * FROM [final_electricity (33)]"/>
  </connection>
  <connection id="47" xr16:uid="{A2560EA7-81D5-48D9-A92B-BEEF05D373DA}" keepAlive="1" name="Query - final_electricity (34)" description="Connection to the 'final_electricity (34)' query in the workbook." type="5" refreshedVersion="8" background="1" saveData="1">
    <dbPr connection="Provider=Microsoft.Mashup.OleDb.1;Data Source=$Workbook$;Location=&quot;final_electricity (34)&quot;;Extended Properties=&quot;&quot;" command="SELECT * FROM [final_electricity (34)]"/>
  </connection>
  <connection id="48" xr16:uid="{1418CE33-7ECF-4665-9478-A78E997B219D}" keepAlive="1" name="Query - final_electricity (35)" description="Connection to the 'final_electricity (35)' query in the workbook." type="5" refreshedVersion="8" background="1" saveData="1">
    <dbPr connection="Provider=Microsoft.Mashup.OleDb.1;Data Source=$Workbook$;Location=&quot;final_electricity (35)&quot;;Extended Properties=&quot;&quot;" command="SELECT * FROM [final_electricity (35)]"/>
  </connection>
  <connection id="49" xr16:uid="{459BA992-7E0F-45A1-80FE-3A09DA603BA3}" keepAlive="1" name="Query - final_electricity (36)" description="Connection to the 'final_electricity (36)' query in the workbook." type="5" refreshedVersion="8" background="1" saveData="1">
    <dbPr connection="Provider=Microsoft.Mashup.OleDb.1;Data Source=$Workbook$;Location=&quot;final_electricity (36)&quot;;Extended Properties=&quot;&quot;" command="SELECT * FROM [final_electricity (36)]"/>
  </connection>
  <connection id="50" xr16:uid="{A7D582A5-AB80-416B-BE68-13286FA7F0C6}" keepAlive="1" name="Query - final_electricity (37)" description="Connection to the 'final_electricity (37)' query in the workbook." type="5" refreshedVersion="8" background="1" saveData="1">
    <dbPr connection="Provider=Microsoft.Mashup.OleDb.1;Data Source=$Workbook$;Location=&quot;final_electricity (37)&quot;;Extended Properties=&quot;&quot;" command="SELECT * FROM [final_electricity (37)]"/>
  </connection>
  <connection id="51" xr16:uid="{2BD88931-C4AC-4645-AC0A-8D06DE915387}" keepAlive="1" name="Query - final_electricity (38)" description="Connection to the 'final_electricity (38)' query in the workbook." type="5" refreshedVersion="8" background="1" saveData="1">
    <dbPr connection="Provider=Microsoft.Mashup.OleDb.1;Data Source=$Workbook$;Location=&quot;final_electricity (38)&quot;;Extended Properties=&quot;&quot;" command="SELECT * FROM [final_electricity (38)]"/>
  </connection>
  <connection id="52" xr16:uid="{393EADD4-24E4-49A7-B014-5ABA432DC5D9}" keepAlive="1" name="Query - final_electricity (39)" description="Connection to the 'final_electricity (39)' query in the workbook." type="5" refreshedVersion="8" background="1" saveData="1">
    <dbPr connection="Provider=Microsoft.Mashup.OleDb.1;Data Source=$Workbook$;Location=&quot;final_electricity (39)&quot;;Extended Properties=&quot;&quot;" command="SELECT * FROM [final_electricity (39)]"/>
  </connection>
  <connection id="53" xr16:uid="{2951A8A6-0D98-4897-B449-F444B3453C80}" keepAlive="1" name="Query - final_electricity (4)" description="Connection to the 'final_electricity (4)' query in the workbook." type="5" refreshedVersion="8" background="1" saveData="1">
    <dbPr connection="Provider=Microsoft.Mashup.OleDb.1;Data Source=$Workbook$;Location=&quot;final_electricity (4)&quot;;Extended Properties=&quot;&quot;" command="SELECT * FROM [final_electricity (4)]"/>
  </connection>
  <connection id="54" xr16:uid="{2279DC33-269F-4513-BC63-896BF8108259}" keepAlive="1" name="Query - final_electricity (40)" description="Connection to the 'final_electricity (40)' query in the workbook." type="5" refreshedVersion="8" background="1" saveData="1">
    <dbPr connection="Provider=Microsoft.Mashup.OleDb.1;Data Source=$Workbook$;Location=&quot;final_electricity (40)&quot;;Extended Properties=&quot;&quot;" command="SELECT * FROM [final_electricity (40)]"/>
  </connection>
  <connection id="55" xr16:uid="{5896D9CC-8FBC-457C-B5EA-E4F2E136ED4F}" keepAlive="1" name="Query - final_electricity (41)" description="Connection to the 'final_electricity (41)' query in the workbook." type="5" refreshedVersion="8" background="1" saveData="1">
    <dbPr connection="Provider=Microsoft.Mashup.OleDb.1;Data Source=$Workbook$;Location=&quot;final_electricity (41)&quot;;Extended Properties=&quot;&quot;" command="SELECT * FROM [final_electricity (41)]"/>
  </connection>
  <connection id="56" xr16:uid="{9BAFD413-1DA7-465D-8D8E-0A9E9C929B04}" keepAlive="1" name="Query - final_electricity (42)" description="Connection to the 'final_electricity (42)' query in the workbook." type="5" refreshedVersion="8" background="1" saveData="1">
    <dbPr connection="Provider=Microsoft.Mashup.OleDb.1;Data Source=$Workbook$;Location=&quot;final_electricity (42)&quot;;Extended Properties=&quot;&quot;" command="SELECT * FROM [final_electricity (42)]"/>
  </connection>
  <connection id="57" xr16:uid="{122239DA-A164-4B77-A9B4-B34422FC70F9}" keepAlive="1" name="Query - final_electricity (43)" description="Connection to the 'final_electricity (43)' query in the workbook." type="5" refreshedVersion="8" background="1" saveData="1">
    <dbPr connection="Provider=Microsoft.Mashup.OleDb.1;Data Source=$Workbook$;Location=&quot;final_electricity (43)&quot;;Extended Properties=&quot;&quot;" command="SELECT * FROM [final_electricity (43)]"/>
  </connection>
  <connection id="58" xr16:uid="{E21F4F1E-BCD4-4B77-9CC5-97807084057F}" keepAlive="1" name="Query - final_electricity (44)" description="Connection to the 'final_electricity (44)' query in the workbook." type="5" refreshedVersion="8" background="1" saveData="1">
    <dbPr connection="Provider=Microsoft.Mashup.OleDb.1;Data Source=$Workbook$;Location=&quot;final_electricity (44)&quot;;Extended Properties=&quot;&quot;" command="SELECT * FROM [final_electricity (44)]"/>
  </connection>
  <connection id="59" xr16:uid="{73996D3B-06A3-4A5E-AAF6-44F028125D80}" keepAlive="1" name="Query - final_electricity (45)" description="Connection to the 'final_electricity (45)' query in the workbook." type="5" refreshedVersion="8" background="1" saveData="1">
    <dbPr connection="Provider=Microsoft.Mashup.OleDb.1;Data Source=$Workbook$;Location=&quot;final_electricity (45)&quot;;Extended Properties=&quot;&quot;" command="SELECT * FROM [final_electricity (45)]"/>
  </connection>
  <connection id="60" xr16:uid="{FA1B2789-AF61-43A0-A63F-0822326D4850}" keepAlive="1" name="Query - final_electricity (46)" description="Connection to the 'final_electricity (46)' query in the workbook." type="5" refreshedVersion="8" background="1" saveData="1">
    <dbPr connection="Provider=Microsoft.Mashup.OleDb.1;Data Source=$Workbook$;Location=&quot;final_electricity (46)&quot;;Extended Properties=&quot;&quot;" command="SELECT * FROM [final_electricity (46)]"/>
  </connection>
  <connection id="61" xr16:uid="{04F546BA-FD57-451E-8554-C1F7FBD6A6B8}" keepAlive="1" name="Query - final_electricity (47)" description="Connection to the 'final_electricity (47)' query in the workbook." type="5" refreshedVersion="8" background="1" saveData="1">
    <dbPr connection="Provider=Microsoft.Mashup.OleDb.1;Data Source=$Workbook$;Location=&quot;final_electricity (47)&quot;;Extended Properties=&quot;&quot;" command="SELECT * FROM [final_electricity (47)]"/>
  </connection>
  <connection id="62" xr16:uid="{597277FD-C5B0-4C3F-8705-67F8B10712DC}" keepAlive="1" name="Query - final_electricity (48)" description="Connection to the 'final_electricity (48)' query in the workbook." type="5" refreshedVersion="8" background="1" saveData="1">
    <dbPr connection="Provider=Microsoft.Mashup.OleDb.1;Data Source=$Workbook$;Location=&quot;final_electricity (48)&quot;;Extended Properties=&quot;&quot;" command="SELECT * FROM [final_electricity (48)]"/>
  </connection>
  <connection id="63" xr16:uid="{D6A2580C-AB00-4093-BD19-1B1169699F59}" keepAlive="1" name="Query - final_electricity (49)" description="Connection to the 'final_electricity (49)' query in the workbook." type="5" refreshedVersion="8" background="1" saveData="1">
    <dbPr connection="Provider=Microsoft.Mashup.OleDb.1;Data Source=$Workbook$;Location=&quot;final_electricity (49)&quot;;Extended Properties=&quot;&quot;" command="SELECT * FROM [final_electricity (49)]"/>
  </connection>
  <connection id="64" xr16:uid="{567DEDA5-E16B-4025-A0D0-7DFDD072473A}" keepAlive="1" name="Query - final_electricity (5)" description="Connection to the 'final_electricity (5)' query in the workbook." type="5" refreshedVersion="8" background="1" saveData="1">
    <dbPr connection="Provider=Microsoft.Mashup.OleDb.1;Data Source=$Workbook$;Location=&quot;final_electricity (5)&quot;;Extended Properties=&quot;&quot;" command="SELECT * FROM [final_electricity (5)]"/>
  </connection>
  <connection id="65" xr16:uid="{DF96392B-2FDE-4C0E-B4DC-96F80E8B39FD}" keepAlive="1" name="Query - final_electricity (50)" description="Connection to the 'final_electricity (50)' query in the workbook." type="5" refreshedVersion="8" background="1" saveData="1">
    <dbPr connection="Provider=Microsoft.Mashup.OleDb.1;Data Source=$Workbook$;Location=&quot;final_electricity (50)&quot;;Extended Properties=&quot;&quot;" command="SELECT * FROM [final_electricity (50)]"/>
  </connection>
  <connection id="66" xr16:uid="{227FE535-38F4-4584-A188-F397C8DF27FF}" keepAlive="1" name="Query - final_electricity (51)" description="Connection to the 'final_electricity (51)' query in the workbook." type="5" refreshedVersion="8" background="1" saveData="1">
    <dbPr connection="Provider=Microsoft.Mashup.OleDb.1;Data Source=$Workbook$;Location=&quot;final_electricity (51)&quot;;Extended Properties=&quot;&quot;" command="SELECT * FROM [final_electricity (51)]"/>
  </connection>
  <connection id="67" xr16:uid="{856D166B-B282-42A6-8C0C-F733783522F1}" keepAlive="1" name="Query - final_electricity (52)" description="Connection to the 'final_electricity (52)' query in the workbook." type="5" refreshedVersion="8" background="1" saveData="1">
    <dbPr connection="Provider=Microsoft.Mashup.OleDb.1;Data Source=$Workbook$;Location=&quot;final_electricity (52)&quot;;Extended Properties=&quot;&quot;" command="SELECT * FROM [final_electricity (52)]"/>
  </connection>
  <connection id="68" xr16:uid="{44F4051F-0AC3-4AEB-891A-6E66FF77171B}" keepAlive="1" name="Query - final_electricity (53)" description="Connection to the 'final_electricity (53)' query in the workbook." type="5" refreshedVersion="8" background="1" saveData="1">
    <dbPr connection="Provider=Microsoft.Mashup.OleDb.1;Data Source=$Workbook$;Location=&quot;final_electricity (53)&quot;;Extended Properties=&quot;&quot;" command="SELECT * FROM [final_electricity (53)]"/>
  </connection>
  <connection id="69" xr16:uid="{AEAF25E3-727B-4920-BC38-1BC212235AED}" keepAlive="1" name="Query - final_electricity (54)" description="Connection to the 'final_electricity (54)' query in the workbook." type="5" refreshedVersion="8" background="1" saveData="1">
    <dbPr connection="Provider=Microsoft.Mashup.OleDb.1;Data Source=$Workbook$;Location=&quot;final_electricity (54)&quot;;Extended Properties=&quot;&quot;" command="SELECT * FROM [final_electricity (54)]"/>
  </connection>
  <connection id="70" xr16:uid="{CC2BFA45-7591-4535-A30A-F359273AE55D}" keepAlive="1" name="Query - final_electricity (55)" description="Connection to the 'final_electricity (55)' query in the workbook." type="5" refreshedVersion="8" background="1" saveData="1">
    <dbPr connection="Provider=Microsoft.Mashup.OleDb.1;Data Source=$Workbook$;Location=&quot;final_electricity (55)&quot;;Extended Properties=&quot;&quot;" command="SELECT * FROM [final_electricity (55)]"/>
  </connection>
  <connection id="71" xr16:uid="{27E51690-5960-4143-912F-A4664EC48196}" keepAlive="1" name="Query - final_electricity (56)" description="Connection to the 'final_electricity (56)' query in the workbook." type="5" refreshedVersion="8" background="1" saveData="1">
    <dbPr connection="Provider=Microsoft.Mashup.OleDb.1;Data Source=$Workbook$;Location=&quot;final_electricity (56)&quot;;Extended Properties=&quot;&quot;" command="SELECT * FROM [final_electricity (56)]"/>
  </connection>
  <connection id="72" xr16:uid="{FA9B98E6-25D9-4EC2-A0C6-31894BA99B2B}" keepAlive="1" name="Query - final_electricity (57)" description="Connection to the 'final_electricity (57)' query in the workbook." type="5" refreshedVersion="8" background="1" saveData="1">
    <dbPr connection="Provider=Microsoft.Mashup.OleDb.1;Data Source=$Workbook$;Location=&quot;final_electricity (57)&quot;;Extended Properties=&quot;&quot;" command="SELECT * FROM [final_electricity (57)]"/>
  </connection>
  <connection id="73" xr16:uid="{4440105D-6CB3-4AAD-AFCB-8B3D69562DF8}" keepAlive="1" name="Query - final_electricity (58)" description="Connection to the 'final_electricity (58)' query in the workbook." type="5" refreshedVersion="8" background="1" saveData="1">
    <dbPr connection="Provider=Microsoft.Mashup.OleDb.1;Data Source=$Workbook$;Location=&quot;final_electricity (58)&quot;;Extended Properties=&quot;&quot;" command="SELECT * FROM [final_electricity (58)]"/>
  </connection>
  <connection id="74" xr16:uid="{5D5F04FB-6009-4CCD-9530-999C2891D393}" keepAlive="1" name="Query - final_electricity (59)" description="Connection to the 'final_electricity (59)' query in the workbook." type="5" refreshedVersion="8" background="1" saveData="1">
    <dbPr connection="Provider=Microsoft.Mashup.OleDb.1;Data Source=$Workbook$;Location=&quot;final_electricity (59)&quot;;Extended Properties=&quot;&quot;" command="SELECT * FROM [final_electricity (59)]"/>
  </connection>
  <connection id="75" xr16:uid="{AAE197F5-8DD3-48DA-8029-388DA5F18759}" keepAlive="1" name="Query - final_electricity (6)" description="Connection to the 'final_electricity (6)' query in the workbook." type="5" refreshedVersion="8" background="1" saveData="1">
    <dbPr connection="Provider=Microsoft.Mashup.OleDb.1;Data Source=$Workbook$;Location=&quot;final_electricity (6)&quot;;Extended Properties=&quot;&quot;" command="SELECT * FROM [final_electricity (6)]"/>
  </connection>
  <connection id="76" xr16:uid="{1B507B3A-9A9A-4E0D-98A3-EA84D9B2835D}" keepAlive="1" name="Query - final_electricity (60)" description="Connection to the 'final_electricity (60)' query in the workbook." type="5" refreshedVersion="8" background="1" saveData="1">
    <dbPr connection="Provider=Microsoft.Mashup.OleDb.1;Data Source=$Workbook$;Location=&quot;final_electricity (60)&quot;;Extended Properties=&quot;&quot;" command="SELECT * FROM [final_electricity (60)]"/>
  </connection>
  <connection id="77" xr16:uid="{AEA8AC7A-1D88-4B47-BCEF-13565262AC22}" keepAlive="1" name="Query - final_electricity (61)" description="Connection to the 'final_electricity (61)' query in the workbook." type="5" refreshedVersion="8" background="1" saveData="1">
    <dbPr connection="Provider=Microsoft.Mashup.OleDb.1;Data Source=$Workbook$;Location=&quot;final_electricity (61)&quot;;Extended Properties=&quot;&quot;" command="SELECT * FROM [final_electricity (61)]"/>
  </connection>
  <connection id="78" xr16:uid="{DCC4F594-B8C0-4AC8-8615-8C4D610C9429}" keepAlive="1" name="Query - final_electricity (62)" description="Connection to the 'final_electricity (62)' query in the workbook." type="5" refreshedVersion="8" background="1" saveData="1">
    <dbPr connection="Provider=Microsoft.Mashup.OleDb.1;Data Source=$Workbook$;Location=&quot;final_electricity (62)&quot;;Extended Properties=&quot;&quot;" command="SELECT * FROM [final_electricity (62)]"/>
  </connection>
  <connection id="79" xr16:uid="{A52E1AA0-2396-47ED-884D-017EABFBEA30}" keepAlive="1" name="Query - final_electricity (63)" description="Connection to the 'final_electricity (63)' query in the workbook." type="5" refreshedVersion="8" background="1" saveData="1">
    <dbPr connection="Provider=Microsoft.Mashup.OleDb.1;Data Source=$Workbook$;Location=&quot;final_electricity (63)&quot;;Extended Properties=&quot;&quot;" command="SELECT * FROM [final_electricity (63)]"/>
  </connection>
  <connection id="80" xr16:uid="{F2B366DD-DA01-4180-A1F0-2181A4F5BF38}" keepAlive="1" name="Query - final_electricity (64)" description="Connection to the 'final_electricity (64)' query in the workbook." type="5" refreshedVersion="0" background="1" saveData="1">
    <dbPr connection="Provider=Microsoft.Mashup.OleDb.1;Data Source=$Workbook$;Location=&quot;final_electricity (64)&quot;;Extended Properties=&quot;&quot;" command="SELECT * FROM [final_electricity (64)]"/>
  </connection>
  <connection id="81" xr16:uid="{A4566B68-FAF2-4F56-83E0-43DF28CE9B97}" keepAlive="1" name="Query - final_electricity (7)" description="Connection to the 'final_electricity (7)' query in the workbook." type="5" refreshedVersion="8" background="1" saveData="1">
    <dbPr connection="Provider=Microsoft.Mashup.OleDb.1;Data Source=$Workbook$;Location=&quot;final_electricity (7)&quot;;Extended Properties=&quot;&quot;" command="SELECT * FROM [final_electricity (7)]"/>
  </connection>
  <connection id="82" xr16:uid="{733F67A7-6E7C-4571-997A-24844B270FF1}" keepAlive="1" name="Query - final_electricity (8)" description="Connection to the 'final_electricity (8)' query in the workbook." type="5" refreshedVersion="8" background="1" saveData="1">
    <dbPr connection="Provider=Microsoft.Mashup.OleDb.1;Data Source=$Workbook$;Location=&quot;final_electricity (8)&quot;;Extended Properties=&quot;&quot;" command="SELECT * FROM [final_electricity (8)]"/>
  </connection>
  <connection id="83" xr16:uid="{9387B55E-A18F-4DFD-9534-620806FBB671}" keepAlive="1" name="Query - final_electricity (9)" description="Connection to the 'final_electricity (9)' query in the workbook." type="5" refreshedVersion="8" background="1" saveData="1">
    <dbPr connection="Provider=Microsoft.Mashup.OleDb.1;Data Source=$Workbook$;Location=&quot;final_electricity (9)&quot;;Extended Properties=&quot;&quot;" command="SELECT * FROM [final_electricity (9)]"/>
  </connection>
  <connection id="84" xr16:uid="{B212702A-BE03-4B19-9258-53C869D7516E}" keepAlive="1" name="Query - occupation (1)" description="Connection to the 'occupation (1)' query in the workbook." type="5" refreshedVersion="8" background="1" saveData="1">
    <dbPr connection="Provider=Microsoft.Mashup.OleDb.1;Data Source=$Workbook$;Location=&quot;occupation (1)&quot;;Extended Properties=&quot;&quot;" command="SELECT * FROM [occupation (1)]"/>
  </connection>
  <connection id="85" xr16:uid="{B810E6FB-FAC7-4DD3-85C4-60F3A0DDBB0F}" keepAlive="1" name="Query - occupation (2)" description="Connection to the 'occupation (2)' query in the workbook." type="5" refreshedVersion="8" background="1" saveData="1">
    <dbPr connection="Provider=Microsoft.Mashup.OleDb.1;Data Source=$Workbook$;Location=&quot;occupation (2)&quot;;Extended Properties=&quot;&quot;" command="SELECT * FROM [occupation (2)]"/>
  </connection>
  <connection id="86" xr16:uid="{16F1A582-62C5-42A4-901F-F3D85ACA83D7}" keepAlive="1" name="Query - occupation (3)" description="Connection to the 'occupation (3)' query in the workbook." type="5" refreshedVersion="8" background="1" saveData="1">
    <dbPr connection="Provider=Microsoft.Mashup.OleDb.1;Data Source=$Workbook$;Location=&quot;occupation (3)&quot;;Extended Properties=&quot;&quot;" command="SELECT * FROM [occupation (3)]"/>
  </connection>
  <connection id="87" xr16:uid="{DD20A79C-D96C-4DF2-9961-D2F11DFDF094}" keepAlive="1" name="Query - occupation (4)" description="Connection to the 'occupation (4)' query in the workbook." type="5" refreshedVersion="8" background="1" saveData="1">
    <dbPr connection="Provider=Microsoft.Mashup.OleDb.1;Data Source=$Workbook$;Location=&quot;occupation (4)&quot;;Extended Properties=&quot;&quot;" command="SELECT * FROM [occupation (4)]"/>
  </connection>
  <connection id="88" xr16:uid="{0F360DCD-4C3A-483C-9702-CDE914EA46E8}" keepAlive="1" name="Query - occupation (5)" description="Connection to the 'occupation (5)' query in the workbook." type="5" refreshedVersion="0" background="1" saveData="1">
    <dbPr connection="Provider=Microsoft.Mashup.OleDb.1;Data Source=$Workbook$;Location=&quot;occupation (5)&quot;;Extended Properties=&quot;&quot;" command="SELECT * FROM [occupation (5)]"/>
  </connection>
  <connection id="89" xr16:uid="{49F04082-4412-432B-AFE1-1AD68AB93A78}" keepAlive="1" name="Query - tariffs" description="Connection to the 'tariffs' query in the workbook." type="5" refreshedVersion="8" background="1" saveData="1">
    <dbPr connection="Provider=Microsoft.Mashup.OleDb.1;Data Source=$Workbook$;Location=tariffs;Extended Properties=&quot;&quot;" command="SELECT * FROM [tariffs]"/>
  </connection>
  <connection id="90" xr16:uid="{0E5141A4-7494-4014-B822-955731A328B3}" keepAlive="1" name="Query - tariffs (1)" description="Connection to the 'tariffs (1)' query in the workbook." type="5" refreshedVersion="0" background="1" saveData="1">
    <dbPr connection="Provider=Microsoft.Mashup.OleDb.1;Data Source=$Workbook$;Location=&quot;tariffs (1)&quot;;Extended Properties=&quot;&quot;" command="SELECT * FROM [tariffs (1)]"/>
  </connection>
  <connection id="91" xr16:uid="{72204699-518F-4BBC-8480-CF4B4AB3B59B}" keepAlive="1" name="Query - tariffs (2)" description="Connection to the 'tariffs (2)' query in the workbook." type="5" refreshedVersion="8" background="1" saveData="1">
    <dbPr connection="Provider=Microsoft.Mashup.OleDb.1;Data Source=$Workbook$;Location=&quot;tariffs (2)&quot;;Extended Properties=&quot;&quot;" command="SELECT * FROM [tariffs (2)]"/>
  </connection>
</connections>
</file>

<file path=xl/sharedStrings.xml><?xml version="1.0" encoding="utf-8"?>
<sst xmlns="http://schemas.openxmlformats.org/spreadsheetml/2006/main" count="784" uniqueCount="282">
  <si>
    <t>Building 3 (kWh)</t>
  </si>
  <si>
    <t>Building 1</t>
  </si>
  <si>
    <t>Building 2</t>
  </si>
  <si>
    <t>Hour</t>
  </si>
  <si>
    <t>Temperature (ºC)</t>
  </si>
  <si>
    <t>Wind 10m (m/s)</t>
  </si>
  <si>
    <t>PV Power (W)</t>
  </si>
  <si>
    <t>0</t>
  </si>
  <si>
    <t>Community</t>
  </si>
  <si>
    <t>Grid</t>
  </si>
  <si>
    <t xml:space="preserve"> (kgCO2/kWh)</t>
  </si>
  <si>
    <t>Natural Gas</t>
  </si>
  <si>
    <t>toe</t>
  </si>
  <si>
    <t>kWh</t>
  </si>
  <si>
    <t>Building3</t>
  </si>
  <si>
    <t>Primary Energy (toe)</t>
  </si>
  <si>
    <t>Final Energy (kWh)</t>
  </si>
  <si>
    <t>Emissions (kg/CO2e)</t>
  </si>
  <si>
    <t xml:space="preserve">PV Building 1 </t>
  </si>
  <si>
    <t xml:space="preserve">PV Building 2 </t>
  </si>
  <si>
    <t xml:space="preserve">PV Building 3 </t>
  </si>
  <si>
    <t>Capacity</t>
  </si>
  <si>
    <t>Power (kW)</t>
  </si>
  <si>
    <t>Irradiance 0º (W/m2)</t>
  </si>
  <si>
    <t>Irradiance 90º W(W/m2)</t>
  </si>
  <si>
    <t>Column1</t>
  </si>
  <si>
    <t>Column2</t>
  </si>
  <si>
    <t>FINAL ELECTRICITY</t>
  </si>
  <si>
    <t>CLIMATE</t>
  </si>
  <si>
    <t>Occupation Building1</t>
  </si>
  <si>
    <t>Occupation Building2</t>
  </si>
  <si>
    <t>Occupation Building3</t>
  </si>
  <si>
    <t>OCCUPATION</t>
  </si>
  <si>
    <t>Vehicle</t>
  </si>
  <si>
    <t>mass (kg)</t>
  </si>
  <si>
    <t>Frontal area A (m2)</t>
  </si>
  <si>
    <t>Air drag Cw</t>
  </si>
  <si>
    <t>Road friction Cr</t>
  </si>
  <si>
    <t>air density (kg/m3)</t>
  </si>
  <si>
    <t>gravitational force (m/s2)</t>
  </si>
  <si>
    <t>average daily distance (km)</t>
  </si>
  <si>
    <t>averege daily speed (km/h)</t>
  </si>
  <si>
    <t>average daily slope (degrees)</t>
  </si>
  <si>
    <t>average daily acceleration (m/s2)</t>
  </si>
  <si>
    <t>efficiency of engine</t>
  </si>
  <si>
    <t>efficiency of battery</t>
  </si>
  <si>
    <t>EV</t>
  </si>
  <si>
    <t xml:space="preserve">Building </t>
  </si>
  <si>
    <t>Length(m)</t>
  </si>
  <si>
    <t>Depth(m)</t>
  </si>
  <si>
    <t>Height(m)</t>
  </si>
  <si>
    <t>Uwalls/ceiling/roof/floor(W/m2K)</t>
  </si>
  <si>
    <t>Uwindows (W/m2K)</t>
  </si>
  <si>
    <t>Awindow/Awall</t>
  </si>
  <si>
    <t>Air Changes/hour (h^-1)</t>
  </si>
  <si>
    <t>Comfort Temperature inside(ºC)</t>
  </si>
  <si>
    <t xml:space="preserve">Outside Temperature for Heating </t>
  </si>
  <si>
    <t xml:space="preserve">Outside Temperature for Cooling </t>
  </si>
  <si>
    <t>Ground Temperature</t>
  </si>
  <si>
    <t>Qpeople(W)</t>
  </si>
  <si>
    <t>Qinternal (W/m2)</t>
  </si>
  <si>
    <t>Window Solar Gain</t>
  </si>
  <si>
    <t>Useful Area roof (%)</t>
  </si>
  <si>
    <t>Twaterin(ºC)</t>
  </si>
  <si>
    <t>Tshower (ºC)</t>
  </si>
  <si>
    <t>Liters/person/Day</t>
  </si>
  <si>
    <t>SCOP</t>
  </si>
  <si>
    <t>SEER</t>
  </si>
  <si>
    <t>SCOP water heating</t>
  </si>
  <si>
    <t>Cpair (kJ/kgK)</t>
  </si>
  <si>
    <t>Cwater (kJ/kgK)</t>
  </si>
  <si>
    <t>BUILDING1_INFO</t>
  </si>
  <si>
    <t>Building 1 (buy)</t>
  </si>
  <si>
    <t>Building 1 (sell)</t>
  </si>
  <si>
    <t>Building 2 (buy)</t>
  </si>
  <si>
    <t>Building 2 (sell)</t>
  </si>
  <si>
    <t>Building 3 (buy)</t>
  </si>
  <si>
    <t>Building 3 (sell)</t>
  </si>
  <si>
    <t>TARIFFS</t>
  </si>
  <si>
    <t xml:space="preserve"> Building 1 (kWh)</t>
  </si>
  <si>
    <t>Building 2 (kWh)</t>
  </si>
  <si>
    <t>Efficiency (%)</t>
  </si>
  <si>
    <t xml:space="preserve"> Buildind 1 (toe)</t>
  </si>
  <si>
    <t>Buildind 2 (toe)</t>
  </si>
  <si>
    <t>Building 3 (toe)</t>
  </si>
  <si>
    <t>Cost (€/day)</t>
  </si>
  <si>
    <t>Aerodinamic force (Fw)</t>
  </si>
  <si>
    <t>Friction force (Fr )</t>
  </si>
  <si>
    <t xml:space="preserve">Acceleration force (Fa) </t>
  </si>
  <si>
    <t>Slope force (Fi)</t>
  </si>
  <si>
    <t>Total Force (FT)</t>
  </si>
  <si>
    <t>Power (W)</t>
  </si>
  <si>
    <t>Time (s)</t>
  </si>
  <si>
    <t>speed (m/s)</t>
  </si>
  <si>
    <t>slope (teta)</t>
  </si>
  <si>
    <t>acceleration</t>
  </si>
  <si>
    <t>mass (m)</t>
  </si>
  <si>
    <t>Frontal area</t>
  </si>
  <si>
    <t>Air drag (Cr)</t>
  </si>
  <si>
    <t>Cfriction</t>
  </si>
  <si>
    <t>air density</t>
  </si>
  <si>
    <t>gravitational force</t>
  </si>
  <si>
    <t>Volume</t>
  </si>
  <si>
    <t>Area Envelope</t>
  </si>
  <si>
    <t>Area Window</t>
  </si>
  <si>
    <t>Tground</t>
  </si>
  <si>
    <t>Solar Gains</t>
  </si>
  <si>
    <t>Energy (J)</t>
  </si>
  <si>
    <t>Energy (kWh)</t>
  </si>
  <si>
    <t>Walls + Windows area</t>
  </si>
  <si>
    <t>Walls area</t>
  </si>
  <si>
    <t>Tcomf inside</t>
  </si>
  <si>
    <t>Tout for heating</t>
  </si>
  <si>
    <t>Tout for cooling</t>
  </si>
  <si>
    <t>Floor/ Ceiling area</t>
  </si>
  <si>
    <t>Internal gains (W)</t>
  </si>
  <si>
    <t>Solar gains (W)</t>
  </si>
  <si>
    <t>Infiltration (W)</t>
  </si>
  <si>
    <t>Cond. Walls (W)</t>
  </si>
  <si>
    <t>Cond. Floor (W)</t>
  </si>
  <si>
    <t>Cond. Ceiling (W)</t>
  </si>
  <si>
    <t>Cond. Windows (W)</t>
  </si>
  <si>
    <t>Heating(W)</t>
  </si>
  <si>
    <t>Cooling (W)</t>
  </si>
  <si>
    <t>Air density</t>
  </si>
  <si>
    <t>VENTILATION</t>
  </si>
  <si>
    <t>ENVELOPE</t>
  </si>
  <si>
    <t>SPACE HEATING/COOLING</t>
  </si>
  <si>
    <t>Density of water (kg/m^3)</t>
  </si>
  <si>
    <t>Air density (kg/m^3)</t>
  </si>
  <si>
    <t>WATER HEATING</t>
  </si>
  <si>
    <t>SOLAR</t>
  </si>
  <si>
    <t>INTERNAL</t>
  </si>
  <si>
    <t>THERMAL COMFORT</t>
  </si>
  <si>
    <t>Service</t>
  </si>
  <si>
    <t>Final Energy</t>
  </si>
  <si>
    <t>Water Heating (KJ)</t>
  </si>
  <si>
    <t>E grid (kWh)</t>
  </si>
  <si>
    <t>Mobility service (kWh)</t>
  </si>
  <si>
    <t>Water Heating (kWh)</t>
  </si>
  <si>
    <t>Heating (kWh)</t>
  </si>
  <si>
    <t>Cooling (kWh)</t>
  </si>
  <si>
    <t>Electricity for charging (kWh)</t>
  </si>
  <si>
    <t>Electricity for water heating (kWh)</t>
  </si>
  <si>
    <t>Electricity for heating (kWh)</t>
  </si>
  <si>
    <t>Electricity for cooling (kWh)</t>
  </si>
  <si>
    <t>Energy sold (kWh)</t>
  </si>
  <si>
    <t>PV generation</t>
  </si>
  <si>
    <t>Self Consumption</t>
  </si>
  <si>
    <t>Self-sufficiency</t>
  </si>
  <si>
    <t>Costs Grid (€/day)</t>
  </si>
  <si>
    <t>Cost PV generation</t>
  </si>
  <si>
    <t>Sales Grid</t>
  </si>
  <si>
    <t>Cost PV + Battery generation</t>
  </si>
  <si>
    <t>BASE SCENARIO WITHOUT SERVICES</t>
  </si>
  <si>
    <t>PV Panel</t>
  </si>
  <si>
    <t>Generation</t>
  </si>
  <si>
    <t>COE (€/kWh)</t>
  </si>
  <si>
    <t>Area (m2/panel)</t>
  </si>
  <si>
    <t>Price (€)</t>
  </si>
  <si>
    <t>Generation (kWh/year)</t>
  </si>
  <si>
    <t>Lifetime (years)</t>
  </si>
  <si>
    <t>PV Power Generation</t>
  </si>
  <si>
    <t>GRID CONSUMPTION</t>
  </si>
  <si>
    <t>ELECTRICITY COST</t>
  </si>
  <si>
    <t>Total</t>
  </si>
  <si>
    <t xml:space="preserve"> Buildind 1 (kWh)</t>
  </si>
  <si>
    <t>Buildind 2 (kWh)</t>
  </si>
  <si>
    <t>GRID CONSUMPTION WITHOUT SERVICES</t>
  </si>
  <si>
    <t>SERVICES CONSUMPTION - BUILDING 1</t>
  </si>
  <si>
    <t>EV charging (kWh)</t>
  </si>
  <si>
    <t>Water heating (kWh)</t>
  </si>
  <si>
    <t>TOTAL GRID CONSUMPTION</t>
  </si>
  <si>
    <t>BASE SCENARIO WITH SERVICES</t>
  </si>
  <si>
    <t>ENERGY CONSUMPTION WITH SERVICES</t>
  </si>
  <si>
    <t>PV PRODUCTION</t>
  </si>
  <si>
    <t>PV Building 1</t>
  </si>
  <si>
    <t>PV Building 2</t>
  </si>
  <si>
    <t>PV Building 3</t>
  </si>
  <si>
    <t>PV System (kW)</t>
  </si>
  <si>
    <t>ENERGY CONSUMPTION FROM THE GRID</t>
  </si>
  <si>
    <t>ENERGY SOLD TO THE GRID</t>
  </si>
  <si>
    <t>GRID ELECTRICITY COST</t>
  </si>
  <si>
    <t>PV GENERATION COST</t>
  </si>
  <si>
    <t>SALES TO THE GRID</t>
  </si>
  <si>
    <t>CO2 EMISSIONS (kgCO2e)</t>
  </si>
  <si>
    <t>BASE SCENARIO WITH SERVICES AND PV PANELS</t>
  </si>
  <si>
    <t>Battery</t>
  </si>
  <si>
    <t>DOD</t>
  </si>
  <si>
    <t>C</t>
  </si>
  <si>
    <t>Cycles</t>
  </si>
  <si>
    <t>Capacity (kWh)</t>
  </si>
  <si>
    <t>B1 Battery</t>
  </si>
  <si>
    <t>Efficiency</t>
  </si>
  <si>
    <t>Power charge discharge (kWh)</t>
  </si>
  <si>
    <t>Energy received (kWh)</t>
  </si>
  <si>
    <t>Power charge discharge (kW)</t>
  </si>
  <si>
    <t>BASE SCENARIO W/0 SERVICES</t>
  </si>
  <si>
    <t>BASE SCENARIO W/ SERVICES</t>
  </si>
  <si>
    <t>BASE SCENARIO W/ SERVICES AND PV</t>
  </si>
  <si>
    <t>BASE SCENARIO WITH SERVICES AND PV</t>
  </si>
  <si>
    <t>Total Costs</t>
  </si>
  <si>
    <t>BASE SCENARIO W/ SERVICES AND PV AND BATTERIES</t>
  </si>
  <si>
    <t>B1 BATTERY ELECTRICITY COST</t>
  </si>
  <si>
    <t>Cost</t>
  </si>
  <si>
    <t>NPV</t>
  </si>
  <si>
    <t>ENERGY CONSUMPTION/SOLD GRID</t>
  </si>
  <si>
    <t>Energy Grid</t>
  </si>
  <si>
    <t>Energy Sold</t>
  </si>
  <si>
    <t>CO2 Emissions (kgCO2e)</t>
  </si>
  <si>
    <t>COMMUNITY</t>
  </si>
  <si>
    <t>B1 BATTERY (SUPPLY)</t>
  </si>
  <si>
    <t>SOC</t>
  </si>
  <si>
    <t>CHARGE</t>
  </si>
  <si>
    <t>DISCHARGE</t>
  </si>
  <si>
    <t>B1 - BATTERY</t>
  </si>
  <si>
    <t>ENERGY FROM THE GRID WITH SERVICES + PV + BATTERY</t>
  </si>
  <si>
    <t xml:space="preserve"> Building 1 (kWh)2</t>
  </si>
  <si>
    <t xml:space="preserve"> Building 1 (kWh)3</t>
  </si>
  <si>
    <t>Heating Electricity (Wh)</t>
  </si>
  <si>
    <t>Cooling Electricity (Wh)</t>
  </si>
  <si>
    <t>ENERGY CONSUMPTION FROM THE GRID (DEFICIT) - BEFORE BATTERY</t>
  </si>
  <si>
    <t>Energy grid (kWh)</t>
  </si>
  <si>
    <t>-</t>
  </si>
  <si>
    <t>Discount rate</t>
  </si>
  <si>
    <t>Investments (€/kW)</t>
  </si>
  <si>
    <t>PV</t>
  </si>
  <si>
    <t xml:space="preserve">PV </t>
  </si>
  <si>
    <t>B1</t>
  </si>
  <si>
    <t>B2</t>
  </si>
  <si>
    <t>B3</t>
  </si>
  <si>
    <t>Investment</t>
  </si>
  <si>
    <t>Savings</t>
  </si>
  <si>
    <t>ServicesPV</t>
  </si>
  <si>
    <t>ServicesPV&amp;Bat</t>
  </si>
  <si>
    <t>nPanels</t>
  </si>
  <si>
    <t>Area</t>
  </si>
  <si>
    <t>Maximizing the NPV of the Community</t>
  </si>
  <si>
    <t xml:space="preserve"> B1 (kWh)</t>
  </si>
  <si>
    <t>B2 (kWh)</t>
  </si>
  <si>
    <t>B3 (kWh)</t>
  </si>
  <si>
    <t>GRID ELECTRICITY COST (SERVICES)</t>
  </si>
  <si>
    <t>GRID ELECTRICITY COST (SERVICES + PV)</t>
  </si>
  <si>
    <t>Max Area</t>
  </si>
  <si>
    <t>&lt;=</t>
  </si>
  <si>
    <t>constraints</t>
  </si>
  <si>
    <t>cost function</t>
  </si>
  <si>
    <t>Decision variables</t>
  </si>
  <si>
    <t>n</t>
  </si>
  <si>
    <t>SERVICES</t>
  </si>
  <si>
    <t>FINAL ENERGY</t>
  </si>
  <si>
    <t>PRIMARY ENERGY</t>
  </si>
  <si>
    <t>Base scenario</t>
  </si>
  <si>
    <t>Base scenario w/ services</t>
  </si>
  <si>
    <t>Base scenario w/ services and PV</t>
  </si>
  <si>
    <t>Base scenario w/ services and PV and Bat</t>
  </si>
  <si>
    <t>ENERGY GRID</t>
  </si>
  <si>
    <t>Optimization of the flexible load by minimizing total cost in Services scenario</t>
  </si>
  <si>
    <t>Fixed Load (kWh)</t>
  </si>
  <si>
    <t>Space Heating</t>
  </si>
  <si>
    <t>Space Cooling</t>
  </si>
  <si>
    <t>Water Heating</t>
  </si>
  <si>
    <t>EV Charging</t>
  </si>
  <si>
    <t>Total flexible load</t>
  </si>
  <si>
    <t>Total Electricity</t>
  </si>
  <si>
    <t>Electricity Cost</t>
  </si>
  <si>
    <t>Water Heating Total Electricity</t>
  </si>
  <si>
    <t>Mobility Service Total Electricity</t>
  </si>
  <si>
    <t>Tariffs</t>
  </si>
  <si>
    <t>Minimizing the total costs of the community</t>
  </si>
  <si>
    <t>Costs</t>
  </si>
  <si>
    <t>PV Generation Cost</t>
  </si>
  <si>
    <t>Max Charge</t>
  </si>
  <si>
    <t>CO2 EMISSIONS</t>
  </si>
  <si>
    <t>COSTS</t>
  </si>
  <si>
    <t>CO2</t>
  </si>
  <si>
    <t>Battery Capacity</t>
  </si>
  <si>
    <t xml:space="preserve"> Renault Zoe</t>
  </si>
  <si>
    <t>1500</t>
  </si>
  <si>
    <t>30</t>
  </si>
  <si>
    <t>35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</si>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</sst>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"/>
    <numFmt numFmtId="167" formatCode="0.00000"/>
    <numFmt numFmtId="168" formatCode="0.00000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99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6" fillId="0" borderId="0"/>
    <xf numFmtId="9" fontId="12" fillId="0" borderId="0" applyFont="0" applyFill="0" applyBorder="0" applyAlignment="0" applyProtection="0"/>
  </cellStyleXfs>
  <cellXfs count="13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/>
    <xf numFmtId="0" fontId="0" fillId="2" borderId="0" xfId="0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6" fillId="10" borderId="1" xfId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1" xfId="0" applyBorder="1"/>
    <xf numFmtId="0" fontId="6" fillId="0" borderId="1" xfId="0" applyFont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6" fillId="0" borderId="0" xfId="1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3" fillId="0" borderId="0" xfId="0" applyNumberFormat="1" applyFont="1"/>
    <xf numFmtId="1" fontId="0" fillId="0" borderId="0" xfId="0" applyNumberForma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2" fontId="4" fillId="0" borderId="0" xfId="0" applyNumberFormat="1" applyFont="1"/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11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0" fontId="1" fillId="0" borderId="0" xfId="2" applyNumberFormat="1" applyFont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165" fontId="6" fillId="0" borderId="1" xfId="0" applyNumberFormat="1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9" fontId="6" fillId="0" borderId="1" xfId="0" applyNumberFormat="1" applyFont="1" applyBorder="1" applyAlignment="1">
      <alignment horizontal="center"/>
    </xf>
    <xf numFmtId="0" fontId="6" fillId="0" borderId="0" xfId="0" applyFont="1"/>
    <xf numFmtId="2" fontId="4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0" fillId="0" borderId="0" xfId="0" applyFont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/>
    <xf numFmtId="0" fontId="14" fillId="0" borderId="0" xfId="0" applyFont="1" applyAlignment="1">
      <alignment vertical="center"/>
    </xf>
    <xf numFmtId="0" fontId="10" fillId="0" borderId="0" xfId="0" applyFont="1"/>
    <xf numFmtId="0" fontId="0" fillId="0" borderId="0" xfId="0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11" borderId="0" xfId="0" applyFill="1"/>
    <xf numFmtId="164" fontId="6" fillId="11" borderId="1" xfId="0" applyNumberFormat="1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2" fontId="0" fillId="0" borderId="1" xfId="0" applyNumberFormat="1" applyBorder="1"/>
    <xf numFmtId="0" fontId="8" fillId="0" borderId="0" xfId="0" applyFont="1"/>
    <xf numFmtId="0" fontId="0" fillId="9" borderId="1" xfId="0" applyFill="1" applyBorder="1"/>
    <xf numFmtId="165" fontId="0" fillId="8" borderId="1" xfId="0" applyNumberFormat="1" applyFill="1" applyBorder="1"/>
    <xf numFmtId="0" fontId="0" fillId="9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0" fillId="8" borderId="1" xfId="0" applyNumberFormat="1" applyFill="1" applyBorder="1" applyAlignment="1">
      <alignment horizontal="center"/>
    </xf>
    <xf numFmtId="0" fontId="0" fillId="9" borderId="8" xfId="0" applyFill="1" applyBorder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2" fontId="0" fillId="17" borderId="0" xfId="0" applyNumberForma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0" fontId="0" fillId="8" borderId="1" xfId="0" applyFill="1" applyBorder="1"/>
    <xf numFmtId="0" fontId="8" fillId="15" borderId="1" xfId="0" applyFont="1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2" fontId="0" fillId="10" borderId="1" xfId="0" applyNumberFormat="1" applyFill="1" applyBorder="1" applyAlignment="1">
      <alignment horizontal="center" vertical="center"/>
    </xf>
    <xf numFmtId="167" fontId="0" fillId="10" borderId="1" xfId="0" applyNumberFormat="1" applyFill="1" applyBorder="1" applyAlignment="1">
      <alignment horizontal="center" vertical="center"/>
    </xf>
    <xf numFmtId="165" fontId="0" fillId="10" borderId="1" xfId="0" applyNumberFormat="1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 vertical="center"/>
    </xf>
    <xf numFmtId="165" fontId="6" fillId="10" borderId="1" xfId="0" applyNumberFormat="1" applyFont="1" applyFill="1" applyBorder="1" applyAlignment="1">
      <alignment horizontal="center" vertical="center"/>
    </xf>
    <xf numFmtId="164" fontId="6" fillId="10" borderId="1" xfId="0" applyNumberFormat="1" applyFont="1" applyFill="1" applyBorder="1" applyAlignment="1">
      <alignment horizontal="center" vertical="center"/>
    </xf>
    <xf numFmtId="2" fontId="6" fillId="10" borderId="1" xfId="0" applyNumberFormat="1" applyFont="1" applyFill="1" applyBorder="1" applyAlignment="1">
      <alignment horizontal="center" vertical="center"/>
    </xf>
    <xf numFmtId="166" fontId="6" fillId="10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9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/>
    <xf numFmtId="9" fontId="0" fillId="10" borderId="1" xfId="0" applyNumberFormat="1" applyFill="1" applyBorder="1"/>
    <xf numFmtId="164" fontId="0" fillId="10" borderId="1" xfId="0" applyNumberFormat="1" applyFill="1" applyBorder="1"/>
    <xf numFmtId="0" fontId="0" fillId="10" borderId="1" xfId="0" applyFill="1" applyBorder="1" applyAlignment="1">
      <alignment vertical="center"/>
    </xf>
    <xf numFmtId="0" fontId="0" fillId="10" borderId="0" xfId="0" applyFill="1"/>
    <xf numFmtId="2" fontId="6" fillId="10" borderId="5" xfId="0" applyNumberFormat="1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2" fontId="6" fillId="10" borderId="1" xfId="0" applyNumberFormat="1" applyFont="1" applyFill="1" applyBorder="1" applyAlignment="1">
      <alignment horizontal="center"/>
    </xf>
    <xf numFmtId="164" fontId="6" fillId="10" borderId="1" xfId="0" applyNumberFormat="1" applyFont="1" applyFill="1" applyBorder="1" applyAlignment="1">
      <alignment horizontal="center"/>
    </xf>
    <xf numFmtId="0" fontId="0" fillId="3" borderId="1" xfId="0" applyFill="1" applyBorder="1"/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6" fillId="9" borderId="3" xfId="0" applyFont="1" applyFill="1" applyBorder="1" applyAlignment="1">
      <alignment horizontal="center" vertical="center"/>
    </xf>
    <xf numFmtId="0" fontId="6" fillId="9" borderId="7" xfId="0" applyFont="1" applyFill="1" applyBorder="1" applyAlignment="1">
      <alignment horizontal="center" vertical="center"/>
    </xf>
    <xf numFmtId="0" fontId="6" fillId="9" borderId="6" xfId="0" applyFont="1" applyFill="1" applyBorder="1" applyAlignment="1">
      <alignment horizontal="center" vertical="center"/>
    </xf>
    <xf numFmtId="0" fontId="6" fillId="9" borderId="4" xfId="0" applyFont="1" applyFill="1" applyBorder="1" applyAlignment="1">
      <alignment horizontal="center" vertical="center"/>
    </xf>
    <xf numFmtId="0" fontId="10" fillId="10" borderId="2" xfId="0" applyFont="1" applyFill="1" applyBorder="1" applyAlignment="1">
      <alignment horizontal="center"/>
    </xf>
    <xf numFmtId="0" fontId="13" fillId="10" borderId="0" xfId="0" applyFont="1" applyFill="1" applyAlignment="1">
      <alignment horizontal="center" vertical="center"/>
    </xf>
    <xf numFmtId="0" fontId="8" fillId="3" borderId="3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16" fillId="8" borderId="0" xfId="0" applyFont="1" applyFill="1" applyAlignment="1">
      <alignment horizontal="center" vertical="center"/>
    </xf>
    <xf numFmtId="0" fontId="16" fillId="19" borderId="0" xfId="0" applyFont="1" applyFill="1" applyAlignment="1">
      <alignment horizontal="center"/>
    </xf>
    <xf numFmtId="0" fontId="16" fillId="20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/>
    </xf>
    <xf numFmtId="0" fontId="16" fillId="18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8" borderId="1" xfId="0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9" fontId="0" fillId="10" borderId="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3" fillId="10" borderId="0" xfId="0" applyFont="1" applyFill="1" applyAlignment="1">
      <alignment horizontal="center"/>
    </xf>
  </cellXfs>
  <cellStyles count="3">
    <cellStyle name="Normal" xfId="0" builtinId="0"/>
    <cellStyle name="Normal 3" xfId="1" xr:uid="{13295B6E-E2A1-42FC-8245-4010CB36F578}"/>
    <cellStyle name="Percent" xfId="2" builtinId="5"/>
  </cellStyles>
  <dxfs count="413"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9900"/>
      <color rgb="FF008000"/>
      <color rgb="FFFFCCCC"/>
      <color rgb="FF7C6B50"/>
      <color rgb="FFCC3300"/>
      <color rgb="FF339933"/>
      <color rgb="FF33CC33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Space Heating</a:t>
            </a:r>
          </a:p>
          <a:p>
            <a:pPr>
              <a:defRPr/>
            </a:pP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Services!$M$3:$M$26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Services!$U$3:$U$26</c:f>
              <c:numCache>
                <c:formatCode>General</c:formatCode>
                <c:ptCount val="24"/>
                <c:pt idx="0">
                  <c:v>254.53126600000022</c:v>
                </c:pt>
                <c:pt idx="1">
                  <c:v>303.83257840000016</c:v>
                </c:pt>
                <c:pt idx="2">
                  <c:v>367.6342767999999</c:v>
                </c:pt>
                <c:pt idx="3">
                  <c:v>431.43597519999997</c:v>
                </c:pt>
                <c:pt idx="4">
                  <c:v>495.23767360000022</c:v>
                </c:pt>
                <c:pt idx="5">
                  <c:v>541.63890879999974</c:v>
                </c:pt>
                <c:pt idx="6">
                  <c:v>588.04014399999983</c:v>
                </c:pt>
                <c:pt idx="7">
                  <c:v>637.34145639999974</c:v>
                </c:pt>
                <c:pt idx="8">
                  <c:v>853.43443120000018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60-40EF-BCAF-AD0F525DF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040783"/>
        <c:axId val="1066186607"/>
      </c:lineChart>
      <c:catAx>
        <c:axId val="390040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66186607"/>
        <c:crosses val="autoZero"/>
        <c:auto val="1"/>
        <c:lblAlgn val="ctr"/>
        <c:lblOffset val="100"/>
        <c:noMultiLvlLbl val="0"/>
      </c:catAx>
      <c:valAx>
        <c:axId val="1066186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9004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Space Cooling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Services!$M$3:$M$26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Services!$W$3:$W$26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4E-4524-889C-6749419A4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4027007"/>
        <c:axId val="352387103"/>
      </c:lineChart>
      <c:catAx>
        <c:axId val="1664027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52387103"/>
        <c:crosses val="autoZero"/>
        <c:auto val="1"/>
        <c:lblAlgn val="ctr"/>
        <c:lblOffset val="100"/>
        <c:noMultiLvlLbl val="0"/>
      </c:catAx>
      <c:valAx>
        <c:axId val="35238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664027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Water Heating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Services!$M$3:$M$26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Services!$Y$3:$Y$26</c:f>
              <c:numCache>
                <c:formatCode>General</c:formatCode>
                <c:ptCount val="24"/>
                <c:pt idx="0">
                  <c:v>1085.9375</c:v>
                </c:pt>
                <c:pt idx="1">
                  <c:v>1085.9375</c:v>
                </c:pt>
                <c:pt idx="2">
                  <c:v>1085.9375</c:v>
                </c:pt>
                <c:pt idx="3">
                  <c:v>1085.9375</c:v>
                </c:pt>
                <c:pt idx="4">
                  <c:v>1085.9375</c:v>
                </c:pt>
                <c:pt idx="5">
                  <c:v>1085.9375</c:v>
                </c:pt>
                <c:pt idx="6">
                  <c:v>1085.9375</c:v>
                </c:pt>
                <c:pt idx="7">
                  <c:v>1085.9375</c:v>
                </c:pt>
                <c:pt idx="8">
                  <c:v>1085.9375</c:v>
                </c:pt>
                <c:pt idx="9">
                  <c:v>1085.9375</c:v>
                </c:pt>
                <c:pt idx="10">
                  <c:v>1085.9375</c:v>
                </c:pt>
                <c:pt idx="11">
                  <c:v>1085.9375</c:v>
                </c:pt>
                <c:pt idx="12">
                  <c:v>1085.9375</c:v>
                </c:pt>
                <c:pt idx="13">
                  <c:v>1085.9375</c:v>
                </c:pt>
                <c:pt idx="14">
                  <c:v>1085.9375</c:v>
                </c:pt>
                <c:pt idx="15">
                  <c:v>1085.9375</c:v>
                </c:pt>
                <c:pt idx="16">
                  <c:v>1085.9375</c:v>
                </c:pt>
                <c:pt idx="17">
                  <c:v>1085.9375</c:v>
                </c:pt>
                <c:pt idx="18">
                  <c:v>1085.9375</c:v>
                </c:pt>
                <c:pt idx="19">
                  <c:v>1085.9375</c:v>
                </c:pt>
                <c:pt idx="20">
                  <c:v>1085.9375</c:v>
                </c:pt>
                <c:pt idx="21">
                  <c:v>1085.9375</c:v>
                </c:pt>
                <c:pt idx="22">
                  <c:v>1085.9375</c:v>
                </c:pt>
                <c:pt idx="23">
                  <c:v>1085.9375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69-4A87-BB96-F0B5D6F06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4027967"/>
        <c:axId val="1548444079"/>
      </c:lineChart>
      <c:catAx>
        <c:axId val="1664027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48444079"/>
        <c:crosses val="autoZero"/>
        <c:auto val="1"/>
        <c:lblAlgn val="ctr"/>
        <c:lblOffset val="100"/>
        <c:noMultiLvlLbl val="0"/>
      </c:catAx>
      <c:valAx>
        <c:axId val="154844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KJ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664027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Base scenario without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'Final Energy'!$A$3:$A$26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'Final Energy'!$B$3:$B$26</c:f>
              <c:numCache>
                <c:formatCode>0.00</c:formatCode>
                <c:ptCount val="24"/>
                <c:pt idx="0">
                  <c:v>0.16300000000000001</c:v>
                </c:pt>
                <c:pt idx="1">
                  <c:v>0.14899999999999999</c:v>
                </c:pt>
                <c:pt idx="2">
                  <c:v>0.121</c:v>
                </c:pt>
                <c:pt idx="3">
                  <c:v>0.112</c:v>
                </c:pt>
                <c:pt idx="4">
                  <c:v>0.11700000000000001</c:v>
                </c:pt>
                <c:pt idx="5">
                  <c:v>0.13</c:v>
                </c:pt>
                <c:pt idx="6">
                  <c:v>0.11700000000000001</c:v>
                </c:pt>
                <c:pt idx="7">
                  <c:v>0.377</c:v>
                </c:pt>
                <c:pt idx="8">
                  <c:v>0.90200000000000002</c:v>
                </c:pt>
                <c:pt idx="9">
                  <c:v>0.17599999999999999</c:v>
                </c:pt>
                <c:pt idx="10">
                  <c:v>0.318</c:v>
                </c:pt>
                <c:pt idx="11">
                  <c:v>0.122</c:v>
                </c:pt>
                <c:pt idx="12">
                  <c:v>0.10100000000000001</c:v>
                </c:pt>
                <c:pt idx="13">
                  <c:v>0.106</c:v>
                </c:pt>
                <c:pt idx="14">
                  <c:v>0.17499999999999999</c:v>
                </c:pt>
                <c:pt idx="15">
                  <c:v>0.23200000000000001</c:v>
                </c:pt>
                <c:pt idx="16">
                  <c:v>0.161</c:v>
                </c:pt>
                <c:pt idx="17">
                  <c:v>0.28699999999999998</c:v>
                </c:pt>
                <c:pt idx="18">
                  <c:v>0.30199999999999999</c:v>
                </c:pt>
                <c:pt idx="19">
                  <c:v>0.154</c:v>
                </c:pt>
                <c:pt idx="20">
                  <c:v>0.65300000000000002</c:v>
                </c:pt>
                <c:pt idx="21">
                  <c:v>1.663</c:v>
                </c:pt>
                <c:pt idx="22">
                  <c:v>0.755</c:v>
                </c:pt>
                <c:pt idx="23">
                  <c:v>0.44400000000000001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0-4E71-B562-A1A8052C7ECF}"/>
            </c:ext>
          </c:extLst>
        </c:ser>
        <c:ser>
          <c:idx val="1"/>
          <c:order val="1"/>
          <c:tx>
            <c:v>B2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'Final Energy'!$A$3:$A$26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'Final Energy'!$C$3:$C$26</c:f>
              <c:numCache>
                <c:formatCode>0.00</c:formatCode>
                <c:ptCount val="24"/>
                <c:pt idx="0">
                  <c:v>126.105</c:v>
                </c:pt>
                <c:pt idx="1">
                  <c:v>124.566</c:v>
                </c:pt>
                <c:pt idx="2">
                  <c:v>122.24</c:v>
                </c:pt>
                <c:pt idx="3">
                  <c:v>119.33199999999999</c:v>
                </c:pt>
                <c:pt idx="4">
                  <c:v>118.456</c:v>
                </c:pt>
                <c:pt idx="5">
                  <c:v>123.203</c:v>
                </c:pt>
                <c:pt idx="6">
                  <c:v>128.864</c:v>
                </c:pt>
                <c:pt idx="7">
                  <c:v>156.93</c:v>
                </c:pt>
                <c:pt idx="8">
                  <c:v>213.28899999999999</c:v>
                </c:pt>
                <c:pt idx="9">
                  <c:v>264.62</c:v>
                </c:pt>
                <c:pt idx="10">
                  <c:v>278.54599999999999</c:v>
                </c:pt>
                <c:pt idx="11">
                  <c:v>290.54700000000003</c:v>
                </c:pt>
                <c:pt idx="12">
                  <c:v>278.565</c:v>
                </c:pt>
                <c:pt idx="13">
                  <c:v>298.416</c:v>
                </c:pt>
                <c:pt idx="14">
                  <c:v>322.815</c:v>
                </c:pt>
                <c:pt idx="15">
                  <c:v>325.81900000000002</c:v>
                </c:pt>
                <c:pt idx="16">
                  <c:v>305.94099999999997</c:v>
                </c:pt>
                <c:pt idx="17">
                  <c:v>272.05799999999999</c:v>
                </c:pt>
                <c:pt idx="18">
                  <c:v>225.411</c:v>
                </c:pt>
                <c:pt idx="19">
                  <c:v>200.375</c:v>
                </c:pt>
                <c:pt idx="20">
                  <c:v>163.98</c:v>
                </c:pt>
                <c:pt idx="21">
                  <c:v>148.77500000000001</c:v>
                </c:pt>
                <c:pt idx="22">
                  <c:v>128.393</c:v>
                </c:pt>
                <c:pt idx="23">
                  <c:v>121.883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0-4E71-B562-A1A8052C7ECF}"/>
            </c:ext>
          </c:extLst>
        </c:ser>
        <c:ser>
          <c:idx val="2"/>
          <c:order val="2"/>
          <c:tx>
            <c:v>B3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'Final Energy'!$A$3:$A$26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'Final Energy'!$D$3:$D$26</c:f>
              <c:numCache>
                <c:formatCode>0.00</c:formatCode>
                <c:ptCount val="24"/>
                <c:pt idx="0">
                  <c:v>122.83199999999999</c:v>
                </c:pt>
                <c:pt idx="1">
                  <c:v>121.10599999999999</c:v>
                </c:pt>
                <c:pt idx="2">
                  <c:v>111.349</c:v>
                </c:pt>
                <c:pt idx="3">
                  <c:v>108.373</c:v>
                </c:pt>
                <c:pt idx="4">
                  <c:v>111.221</c:v>
                </c:pt>
                <c:pt idx="5">
                  <c:v>124.458</c:v>
                </c:pt>
                <c:pt idx="6">
                  <c:v>135.33600000000001</c:v>
                </c:pt>
                <c:pt idx="7">
                  <c:v>205.28700000000001</c:v>
                </c:pt>
                <c:pt idx="8">
                  <c:v>276.12</c:v>
                </c:pt>
                <c:pt idx="9">
                  <c:v>327.05939999999998</c:v>
                </c:pt>
                <c:pt idx="10">
                  <c:v>357.839</c:v>
                </c:pt>
                <c:pt idx="11">
                  <c:v>393.238</c:v>
                </c:pt>
                <c:pt idx="12">
                  <c:v>400.87400000000002</c:v>
                </c:pt>
                <c:pt idx="13">
                  <c:v>372.48899999999998</c:v>
                </c:pt>
                <c:pt idx="14">
                  <c:v>357.63299999999998</c:v>
                </c:pt>
                <c:pt idx="15">
                  <c:v>367.19799999999998</c:v>
                </c:pt>
                <c:pt idx="16">
                  <c:v>356.8</c:v>
                </c:pt>
                <c:pt idx="17">
                  <c:v>330.608</c:v>
                </c:pt>
                <c:pt idx="18">
                  <c:v>282.596</c:v>
                </c:pt>
                <c:pt idx="19">
                  <c:v>220.05699999999999</c:v>
                </c:pt>
                <c:pt idx="20">
                  <c:v>178.715</c:v>
                </c:pt>
                <c:pt idx="21">
                  <c:v>153.333</c:v>
                </c:pt>
                <c:pt idx="22">
                  <c:v>138.67599999999999</c:v>
                </c:pt>
                <c:pt idx="23">
                  <c:v>135.27199999999999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30-4E71-B562-A1A8052C7ECF}"/>
            </c:ext>
          </c:extLst>
        </c:ser>
        <c:ser>
          <c:idx val="3"/>
          <c:order val="3"/>
          <c:tx>
            <c:v>Community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'Final Energy'!$A$3:$A$26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'Final Energy'!$E$3:$E$26</c:f>
              <c:numCache>
                <c:formatCode>0.00</c:formatCode>
                <c:ptCount val="24"/>
                <c:pt idx="0">
                  <c:v>249.1</c:v>
                </c:pt>
                <c:pt idx="1">
                  <c:v>245.821</c:v>
                </c:pt>
                <c:pt idx="2">
                  <c:v>233.70999999999998</c:v>
                </c:pt>
                <c:pt idx="3">
                  <c:v>227.81700000000001</c:v>
                </c:pt>
                <c:pt idx="4">
                  <c:v>229.79400000000001</c:v>
                </c:pt>
                <c:pt idx="5">
                  <c:v>247.791</c:v>
                </c:pt>
                <c:pt idx="6">
                  <c:v>264.31700000000001</c:v>
                </c:pt>
                <c:pt idx="7">
                  <c:v>362.59400000000005</c:v>
                </c:pt>
                <c:pt idx="8">
                  <c:v>490.31099999999998</c:v>
                </c:pt>
                <c:pt idx="9">
                  <c:v>591.85539999999992</c:v>
                </c:pt>
                <c:pt idx="10">
                  <c:v>636.70299999999997</c:v>
                </c:pt>
                <c:pt idx="11">
                  <c:v>683.90700000000004</c:v>
                </c:pt>
                <c:pt idx="12">
                  <c:v>679.54</c:v>
                </c:pt>
                <c:pt idx="13">
                  <c:v>671.01099999999997</c:v>
                </c:pt>
                <c:pt idx="14">
                  <c:v>680.62300000000005</c:v>
                </c:pt>
                <c:pt idx="15">
                  <c:v>693.24900000000002</c:v>
                </c:pt>
                <c:pt idx="16">
                  <c:v>662.90200000000004</c:v>
                </c:pt>
                <c:pt idx="17">
                  <c:v>602.95299999999997</c:v>
                </c:pt>
                <c:pt idx="18">
                  <c:v>508.30899999999997</c:v>
                </c:pt>
                <c:pt idx="19">
                  <c:v>420.58600000000001</c:v>
                </c:pt>
                <c:pt idx="20">
                  <c:v>343.34799999999996</c:v>
                </c:pt>
                <c:pt idx="21">
                  <c:v>303.77100000000002</c:v>
                </c:pt>
                <c:pt idx="22">
                  <c:v>267.82399999999996</c:v>
                </c:pt>
                <c:pt idx="23">
                  <c:v>257.59899999999999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30-4E71-B562-A1A8052C7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5466031"/>
        <c:axId val="1709475967"/>
      </c:lineChart>
      <c:catAx>
        <c:axId val="15454660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09475967"/>
        <c:crosses val="autoZero"/>
        <c:auto val="1"/>
        <c:lblAlgn val="ctr"/>
        <c:lblOffset val="100"/>
        <c:noMultiLvlLbl val="0"/>
      </c:catAx>
      <c:valAx>
        <c:axId val="170947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45466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Base scenario with</a:t>
            </a:r>
            <a:r>
              <a:rPr lang="pt-PT" baseline="0"/>
              <a:t> services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'Final Energy'!$G$3:$G$26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'Final Energy'!$H$3:$H$26</c:f>
              <c:numCache>
                <c:formatCode>0.00</c:formatCode>
                <c:ptCount val="24"/>
                <c:pt idx="0">
                  <c:v>2.2950851974523809</c:v>
                </c:pt>
                <c:pt idx="1">
                  <c:v>0.22495814460000002</c:v>
                </c:pt>
                <c:pt idx="2">
                  <c:v>14.936496131695485</c:v>
                </c:pt>
                <c:pt idx="3">
                  <c:v>0.21985899380000001</c:v>
                </c:pt>
                <c:pt idx="4">
                  <c:v>0.24080941840000006</c:v>
                </c:pt>
                <c:pt idx="5">
                  <c:v>0.26540972719999995</c:v>
                </c:pt>
                <c:pt idx="6">
                  <c:v>0.26401003599999995</c:v>
                </c:pt>
                <c:pt idx="7">
                  <c:v>0.53633536409999993</c:v>
                </c:pt>
                <c:pt idx="8">
                  <c:v>1.1153586078000002</c:v>
                </c:pt>
                <c:pt idx="9">
                  <c:v>0.17599999999999999</c:v>
                </c:pt>
                <c:pt idx="10">
                  <c:v>0.318</c:v>
                </c:pt>
                <c:pt idx="11">
                  <c:v>0.122</c:v>
                </c:pt>
                <c:pt idx="12">
                  <c:v>0.10100000000000001</c:v>
                </c:pt>
                <c:pt idx="13">
                  <c:v>0.106</c:v>
                </c:pt>
                <c:pt idx="14">
                  <c:v>0.17499999999999999</c:v>
                </c:pt>
                <c:pt idx="15">
                  <c:v>0.23200000000000001</c:v>
                </c:pt>
                <c:pt idx="16">
                  <c:v>0.161</c:v>
                </c:pt>
                <c:pt idx="17">
                  <c:v>0.28699999999999998</c:v>
                </c:pt>
                <c:pt idx="18">
                  <c:v>0.30199999999999999</c:v>
                </c:pt>
                <c:pt idx="19">
                  <c:v>0.154</c:v>
                </c:pt>
                <c:pt idx="20">
                  <c:v>0.65300000000000002</c:v>
                </c:pt>
                <c:pt idx="21">
                  <c:v>1.663</c:v>
                </c:pt>
                <c:pt idx="22">
                  <c:v>0.755</c:v>
                </c:pt>
                <c:pt idx="23">
                  <c:v>0.44400000000000001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6A-4939-B803-9F24CAFDFA92}"/>
            </c:ext>
          </c:extLst>
        </c:ser>
        <c:ser>
          <c:idx val="1"/>
          <c:order val="1"/>
          <c:tx>
            <c:v>B2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'Final Energy'!$G$3:$G$26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'Final Energy'!$I$3:$I$26</c:f>
              <c:numCache>
                <c:formatCode>0.00</c:formatCode>
                <c:ptCount val="24"/>
                <c:pt idx="0">
                  <c:v>126.105</c:v>
                </c:pt>
                <c:pt idx="1">
                  <c:v>124.566</c:v>
                </c:pt>
                <c:pt idx="2">
                  <c:v>122.24</c:v>
                </c:pt>
                <c:pt idx="3">
                  <c:v>119.33199999999999</c:v>
                </c:pt>
                <c:pt idx="4">
                  <c:v>118.456</c:v>
                </c:pt>
                <c:pt idx="5">
                  <c:v>123.203</c:v>
                </c:pt>
                <c:pt idx="6">
                  <c:v>128.864</c:v>
                </c:pt>
                <c:pt idx="7">
                  <c:v>156.93</c:v>
                </c:pt>
                <c:pt idx="8">
                  <c:v>213.28899999999999</c:v>
                </c:pt>
                <c:pt idx="9">
                  <c:v>264.62</c:v>
                </c:pt>
                <c:pt idx="10">
                  <c:v>278.54599999999999</c:v>
                </c:pt>
                <c:pt idx="11">
                  <c:v>290.54700000000003</c:v>
                </c:pt>
                <c:pt idx="12">
                  <c:v>278.565</c:v>
                </c:pt>
                <c:pt idx="13">
                  <c:v>298.416</c:v>
                </c:pt>
                <c:pt idx="14">
                  <c:v>322.815</c:v>
                </c:pt>
                <c:pt idx="15">
                  <c:v>325.81900000000002</c:v>
                </c:pt>
                <c:pt idx="16">
                  <c:v>305.94099999999997</c:v>
                </c:pt>
                <c:pt idx="17">
                  <c:v>272.05799999999999</c:v>
                </c:pt>
                <c:pt idx="18">
                  <c:v>225.411</c:v>
                </c:pt>
                <c:pt idx="19">
                  <c:v>200.375</c:v>
                </c:pt>
                <c:pt idx="20">
                  <c:v>163.98</c:v>
                </c:pt>
                <c:pt idx="21">
                  <c:v>148.77500000000001</c:v>
                </c:pt>
                <c:pt idx="22">
                  <c:v>128.393</c:v>
                </c:pt>
                <c:pt idx="23">
                  <c:v>121.883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6A-4939-B803-9F24CAFDFA92}"/>
            </c:ext>
          </c:extLst>
        </c:ser>
        <c:ser>
          <c:idx val="2"/>
          <c:order val="2"/>
          <c:tx>
            <c:v>B3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'Final Energy'!$G$3:$G$26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'Final Energy'!$J$3:$J$26</c:f>
              <c:numCache>
                <c:formatCode>0.00</c:formatCode>
                <c:ptCount val="24"/>
                <c:pt idx="0">
                  <c:v>122.83199999999999</c:v>
                </c:pt>
                <c:pt idx="1">
                  <c:v>121.10599999999999</c:v>
                </c:pt>
                <c:pt idx="2">
                  <c:v>111.349</c:v>
                </c:pt>
                <c:pt idx="3">
                  <c:v>108.373</c:v>
                </c:pt>
                <c:pt idx="4">
                  <c:v>111.221</c:v>
                </c:pt>
                <c:pt idx="5">
                  <c:v>124.458</c:v>
                </c:pt>
                <c:pt idx="6">
                  <c:v>135.33600000000001</c:v>
                </c:pt>
                <c:pt idx="7">
                  <c:v>205.28700000000001</c:v>
                </c:pt>
                <c:pt idx="8">
                  <c:v>276.12</c:v>
                </c:pt>
                <c:pt idx="9">
                  <c:v>327.05939999999998</c:v>
                </c:pt>
                <c:pt idx="10">
                  <c:v>357.839</c:v>
                </c:pt>
                <c:pt idx="11">
                  <c:v>393.238</c:v>
                </c:pt>
                <c:pt idx="12">
                  <c:v>400.87400000000002</c:v>
                </c:pt>
                <c:pt idx="13">
                  <c:v>372.48899999999998</c:v>
                </c:pt>
                <c:pt idx="14">
                  <c:v>357.63299999999998</c:v>
                </c:pt>
                <c:pt idx="15">
                  <c:v>367.19799999999998</c:v>
                </c:pt>
                <c:pt idx="16">
                  <c:v>356.8</c:v>
                </c:pt>
                <c:pt idx="17">
                  <c:v>330.608</c:v>
                </c:pt>
                <c:pt idx="18">
                  <c:v>282.596</c:v>
                </c:pt>
                <c:pt idx="19">
                  <c:v>220.05699999999999</c:v>
                </c:pt>
                <c:pt idx="20">
                  <c:v>178.715</c:v>
                </c:pt>
                <c:pt idx="21">
                  <c:v>153.333</c:v>
                </c:pt>
                <c:pt idx="22">
                  <c:v>138.67599999999999</c:v>
                </c:pt>
                <c:pt idx="23">
                  <c:v>135.27199999999999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6A-4939-B803-9F24CAFDFA92}"/>
            </c:ext>
          </c:extLst>
        </c:ser>
        <c:ser>
          <c:idx val="3"/>
          <c:order val="3"/>
          <c:tx>
            <c:v>Community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'Final Energy'!$G$3:$G$26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'Final Energy'!$K$3:$K$26</c:f>
              <c:numCache>
                <c:formatCode>0.00</c:formatCode>
                <c:ptCount val="24"/>
                <c:pt idx="0">
                  <c:v>251.23208519745239</c:v>
                </c:pt>
                <c:pt idx="1">
                  <c:v>245.89695814459998</c:v>
                </c:pt>
                <c:pt idx="2">
                  <c:v>248.52549613169549</c:v>
                </c:pt>
                <c:pt idx="3">
                  <c:v>227.9248589938</c:v>
                </c:pt>
                <c:pt idx="4">
                  <c:v>229.9178094184</c:v>
                </c:pt>
                <c:pt idx="5">
                  <c:v>247.9264097272</c:v>
                </c:pt>
                <c:pt idx="6">
                  <c:v>264.46401003599999</c:v>
                </c:pt>
                <c:pt idx="7">
                  <c:v>362.75333536410005</c:v>
                </c:pt>
                <c:pt idx="8">
                  <c:v>490.52435860779997</c:v>
                </c:pt>
                <c:pt idx="9">
                  <c:v>591.85539999999992</c:v>
                </c:pt>
                <c:pt idx="10">
                  <c:v>636.70299999999997</c:v>
                </c:pt>
                <c:pt idx="11">
                  <c:v>683.90700000000004</c:v>
                </c:pt>
                <c:pt idx="12">
                  <c:v>679.54</c:v>
                </c:pt>
                <c:pt idx="13">
                  <c:v>671.01099999999997</c:v>
                </c:pt>
                <c:pt idx="14">
                  <c:v>680.62300000000005</c:v>
                </c:pt>
                <c:pt idx="15">
                  <c:v>693.24900000000002</c:v>
                </c:pt>
                <c:pt idx="16">
                  <c:v>662.90200000000004</c:v>
                </c:pt>
                <c:pt idx="17">
                  <c:v>602.95299999999997</c:v>
                </c:pt>
                <c:pt idx="18">
                  <c:v>508.30899999999997</c:v>
                </c:pt>
                <c:pt idx="19">
                  <c:v>420.58600000000001</c:v>
                </c:pt>
                <c:pt idx="20">
                  <c:v>343.34799999999996</c:v>
                </c:pt>
                <c:pt idx="21">
                  <c:v>303.77100000000002</c:v>
                </c:pt>
                <c:pt idx="22">
                  <c:v>267.82399999999996</c:v>
                </c:pt>
                <c:pt idx="23">
                  <c:v>257.59899999999999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6A-4939-B803-9F24CAFDF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9109967"/>
        <c:axId val="1713183711"/>
      </c:lineChart>
      <c:catAx>
        <c:axId val="1549109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13183711"/>
        <c:crosses val="autoZero"/>
        <c:auto val="1"/>
        <c:lblAlgn val="ctr"/>
        <c:lblOffset val="100"/>
        <c:noMultiLvlLbl val="0"/>
      </c:catAx>
      <c:valAx>
        <c:axId val="1713183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49109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Base scenario without</a:t>
            </a:r>
            <a:r>
              <a:rPr lang="pt-PT" baseline="0"/>
              <a:t> services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Energy'!$B$3:$B$26</c:f>
              <c:numCache>
                <c:formatCode>General</c:formatCode>
                <c:ptCount val="24"/>
                <c:pt idx="0">
                  <c:v>2.803577571379429E-5</c:v>
                </c:pt>
                <c:pt idx="1">
                  <c:v>2.5627794977640179E-5</c:v>
                </c:pt>
                <c:pt idx="2">
                  <c:v>2.0811833505331958E-5</c:v>
                </c:pt>
                <c:pt idx="3">
                  <c:v>1.9263845889232888E-5</c:v>
                </c:pt>
                <c:pt idx="4">
                  <c:v>2.0123839009287928E-5</c:v>
                </c:pt>
                <c:pt idx="5">
                  <c:v>2.2359821121431029E-5</c:v>
                </c:pt>
                <c:pt idx="6">
                  <c:v>2.0123839009287928E-5</c:v>
                </c:pt>
                <c:pt idx="7">
                  <c:v>6.4843481252149977E-5</c:v>
                </c:pt>
                <c:pt idx="8">
                  <c:v>1.5514275885792915E-4</c:v>
                </c:pt>
                <c:pt idx="9">
                  <c:v>3.0271757825937391E-5</c:v>
                </c:pt>
                <c:pt idx="10">
                  <c:v>5.4695562435500514E-5</c:v>
                </c:pt>
                <c:pt idx="11">
                  <c:v>2.0983832129342966E-5</c:v>
                </c:pt>
                <c:pt idx="12">
                  <c:v>1.7371861025111802E-5</c:v>
                </c:pt>
                <c:pt idx="13">
                  <c:v>1.8231854145166839E-5</c:v>
                </c:pt>
                <c:pt idx="14">
                  <c:v>3.0099759201926384E-5</c:v>
                </c:pt>
                <c:pt idx="15">
                  <c:v>3.9903680770553835E-5</c:v>
                </c:pt>
                <c:pt idx="16">
                  <c:v>2.7691778465772275E-5</c:v>
                </c:pt>
                <c:pt idx="17">
                  <c:v>4.9363605091159268E-5</c:v>
                </c:pt>
                <c:pt idx="18">
                  <c:v>5.1943584451324387E-5</c:v>
                </c:pt>
                <c:pt idx="19">
                  <c:v>2.6487788097695219E-5</c:v>
                </c:pt>
                <c:pt idx="20">
                  <c:v>1.1231510147918817E-4</c:v>
                </c:pt>
                <c:pt idx="21">
                  <c:v>2.8603371173030614E-4</c:v>
                </c:pt>
                <c:pt idx="22">
                  <c:v>1.2985896112831097E-4</c:v>
                </c:pt>
                <c:pt idx="23">
                  <c:v>7.636738906088752E-5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B1-4890-8294-81C44B92F23F}"/>
            </c:ext>
          </c:extLst>
        </c:ser>
        <c:ser>
          <c:idx val="1"/>
          <c:order val="1"/>
          <c:tx>
            <c:v>B2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Energy'!$C$3:$C$26</c:f>
              <c:numCache>
                <c:formatCode>General</c:formatCode>
                <c:ptCount val="24"/>
                <c:pt idx="0">
                  <c:v>2.1689886480908152E-2</c:v>
                </c:pt>
                <c:pt idx="1">
                  <c:v>2.1425180598555211E-2</c:v>
                </c:pt>
                <c:pt idx="2">
                  <c:v>2.1025111799105607E-2</c:v>
                </c:pt>
                <c:pt idx="3">
                  <c:v>2.0524939800481597E-2</c:v>
                </c:pt>
                <c:pt idx="4">
                  <c:v>2.0374269005847954E-2</c:v>
                </c:pt>
                <c:pt idx="5">
                  <c:v>2.1190746474028209E-2</c:v>
                </c:pt>
                <c:pt idx="6">
                  <c:v>2.2164430684554523E-2</c:v>
                </c:pt>
                <c:pt idx="7">
                  <c:v>2.6991744066047471E-2</c:v>
                </c:pt>
                <c:pt idx="8">
                  <c:v>3.6685414516683862E-2</c:v>
                </c:pt>
                <c:pt idx="9">
                  <c:v>4.5514275885792911E-2</c:v>
                </c:pt>
                <c:pt idx="10">
                  <c:v>4.790952872377021E-2</c:v>
                </c:pt>
                <c:pt idx="11">
                  <c:v>4.9973684210526323E-2</c:v>
                </c:pt>
                <c:pt idx="12">
                  <c:v>4.7912796697626416E-2</c:v>
                </c:pt>
                <c:pt idx="13">
                  <c:v>5.1327141382868938E-2</c:v>
                </c:pt>
                <c:pt idx="14">
                  <c:v>5.5523735810113516E-2</c:v>
                </c:pt>
                <c:pt idx="15">
                  <c:v>5.604041967664259E-2</c:v>
                </c:pt>
                <c:pt idx="16">
                  <c:v>5.2621431028551768E-2</c:v>
                </c:pt>
                <c:pt idx="17">
                  <c:v>4.6793601651186789E-2</c:v>
                </c:pt>
                <c:pt idx="18">
                  <c:v>3.8770381836945304E-2</c:v>
                </c:pt>
                <c:pt idx="19">
                  <c:v>3.4464224286205714E-2</c:v>
                </c:pt>
                <c:pt idx="20">
                  <c:v>2.8204334365325077E-2</c:v>
                </c:pt>
                <c:pt idx="21">
                  <c:v>2.5589095287237702E-2</c:v>
                </c:pt>
                <c:pt idx="22">
                  <c:v>2.2083419332645338E-2</c:v>
                </c:pt>
                <c:pt idx="23">
                  <c:v>2.0963708290333678E-2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1-4890-8294-81C44B92F23F}"/>
            </c:ext>
          </c:extLst>
        </c:ser>
        <c:ser>
          <c:idx val="2"/>
          <c:order val="2"/>
          <c:tx>
            <c:v>B3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Energy'!$D$3:$D$26</c:f>
              <c:numCache>
                <c:formatCode>General</c:formatCode>
                <c:ptCount val="24"/>
                <c:pt idx="0">
                  <c:v>2.1126934984520122E-2</c:v>
                </c:pt>
                <c:pt idx="1">
                  <c:v>2.0830065359477123E-2</c:v>
                </c:pt>
                <c:pt idx="2">
                  <c:v>1.9151874785001719E-2</c:v>
                </c:pt>
                <c:pt idx="3">
                  <c:v>1.8640006879944961E-2</c:v>
                </c:pt>
                <c:pt idx="4">
                  <c:v>1.9129858961128312E-2</c:v>
                </c:pt>
                <c:pt idx="5">
                  <c:v>2.1406604747162022E-2</c:v>
                </c:pt>
                <c:pt idx="6">
                  <c:v>2.3277605779153769E-2</c:v>
                </c:pt>
                <c:pt idx="7">
                  <c:v>3.5309081527347783E-2</c:v>
                </c:pt>
                <c:pt idx="8">
                  <c:v>4.7492260061919506E-2</c:v>
                </c:pt>
                <c:pt idx="9">
                  <c:v>5.6253766769865841E-2</c:v>
                </c:pt>
                <c:pt idx="10">
                  <c:v>6.1547815617475063E-2</c:v>
                </c:pt>
                <c:pt idx="11">
                  <c:v>6.7636394908840727E-2</c:v>
                </c:pt>
                <c:pt idx="12">
                  <c:v>6.8949776401788787E-2</c:v>
                </c:pt>
                <c:pt idx="13">
                  <c:v>6.4067595459236321E-2</c:v>
                </c:pt>
                <c:pt idx="14">
                  <c:v>6.1512383900928787E-2</c:v>
                </c:pt>
                <c:pt idx="15">
                  <c:v>6.3157550739594073E-2</c:v>
                </c:pt>
                <c:pt idx="16">
                  <c:v>6.1369109047127626E-2</c:v>
                </c:pt>
                <c:pt idx="17">
                  <c:v>5.6864121087031302E-2</c:v>
                </c:pt>
                <c:pt idx="18">
                  <c:v>4.8606123151014792E-2</c:v>
                </c:pt>
                <c:pt idx="19">
                  <c:v>3.7849501203990367E-2</c:v>
                </c:pt>
                <c:pt idx="20">
                  <c:v>3.0738734090127281E-2</c:v>
                </c:pt>
                <c:pt idx="21">
                  <c:v>2.6373065015479875E-2</c:v>
                </c:pt>
                <c:pt idx="22">
                  <c:v>2.385208118335053E-2</c:v>
                </c:pt>
                <c:pt idx="23">
                  <c:v>2.3266597867217062E-2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B1-4890-8294-81C44B92F23F}"/>
            </c:ext>
          </c:extLst>
        </c:ser>
        <c:ser>
          <c:idx val="3"/>
          <c:order val="3"/>
          <c:tx>
            <c:v>Community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Energy'!$E$3:$E$26</c:f>
              <c:numCache>
                <c:formatCode>General</c:formatCode>
                <c:ptCount val="24"/>
                <c:pt idx="0">
                  <c:v>4.2844857241142072E-2</c:v>
                </c:pt>
                <c:pt idx="1">
                  <c:v>4.2280873753009977E-2</c:v>
                </c:pt>
                <c:pt idx="2">
                  <c:v>4.0197798417612653E-2</c:v>
                </c:pt>
                <c:pt idx="3">
                  <c:v>3.9184210526315794E-2</c:v>
                </c:pt>
                <c:pt idx="4">
                  <c:v>3.9524251805985552E-2</c:v>
                </c:pt>
                <c:pt idx="5">
                  <c:v>4.2619711042311659E-2</c:v>
                </c:pt>
                <c:pt idx="6">
                  <c:v>4.5462160302717582E-2</c:v>
                </c:pt>
                <c:pt idx="7">
                  <c:v>6.2365669074647412E-2</c:v>
                </c:pt>
                <c:pt idx="8">
                  <c:v>8.4332817337461299E-2</c:v>
                </c:pt>
                <c:pt idx="9">
                  <c:v>0.10179831441348468</c:v>
                </c:pt>
                <c:pt idx="10">
                  <c:v>0.10951203990368076</c:v>
                </c:pt>
                <c:pt idx="11">
                  <c:v>0.11763106295149639</c:v>
                </c:pt>
                <c:pt idx="12">
                  <c:v>0.11687994496044031</c:v>
                </c:pt>
                <c:pt idx="13">
                  <c:v>0.11541296869625042</c:v>
                </c:pt>
                <c:pt idx="14">
                  <c:v>0.11706621947024425</c:v>
                </c:pt>
                <c:pt idx="15">
                  <c:v>0.11923787409700723</c:v>
                </c:pt>
                <c:pt idx="16">
                  <c:v>0.11401823185414517</c:v>
                </c:pt>
                <c:pt idx="17">
                  <c:v>0.10370708634330925</c:v>
                </c:pt>
                <c:pt idx="18">
                  <c:v>8.7428448572411416E-2</c:v>
                </c:pt>
                <c:pt idx="19">
                  <c:v>7.2340213278293777E-2</c:v>
                </c:pt>
                <c:pt idx="20">
                  <c:v>5.9055383556931539E-2</c:v>
                </c:pt>
                <c:pt idx="21">
                  <c:v>5.2248194014447885E-2</c:v>
                </c:pt>
                <c:pt idx="22">
                  <c:v>4.6065359477124174E-2</c:v>
                </c:pt>
                <c:pt idx="23">
                  <c:v>4.4306673546611629E-2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B1-4890-8294-81C44B92F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5354271"/>
        <c:axId val="1676391071"/>
      </c:lineChart>
      <c:catAx>
        <c:axId val="395354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676391071"/>
        <c:crosses val="autoZero"/>
        <c:auto val="1"/>
        <c:lblAlgn val="ctr"/>
        <c:lblOffset val="100"/>
        <c:noMultiLvlLbl val="0"/>
      </c:catAx>
      <c:valAx>
        <c:axId val="167639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95354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Base scenario with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Energy'!$G$3:$G$26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Energy'!$H$3:$H$26</c:f>
              <c:numCache>
                <c:formatCode>General</c:formatCode>
                <c:ptCount val="24"/>
                <c:pt idx="0">
                  <c:v>3.9475149594984195E-4</c:v>
                </c:pt>
                <c:pt idx="1">
                  <c:v>3.8692491331269352E-5</c:v>
                </c:pt>
                <c:pt idx="2">
                  <c:v>2.5690567821973656E-3</c:v>
                </c:pt>
                <c:pt idx="3">
                  <c:v>3.7815444410044724E-5</c:v>
                </c:pt>
                <c:pt idx="4">
                  <c:v>4.1418888613691103E-5</c:v>
                </c:pt>
                <c:pt idx="5">
                  <c:v>4.5650107877536973E-5</c:v>
                </c:pt>
                <c:pt idx="6">
                  <c:v>4.5409362917096655E-5</c:v>
                </c:pt>
                <c:pt idx="7">
                  <c:v>9.2248944633642916E-5</c:v>
                </c:pt>
                <c:pt idx="8">
                  <c:v>1.9184014582043348E-4</c:v>
                </c:pt>
                <c:pt idx="9">
                  <c:v>3.0271757825937391E-5</c:v>
                </c:pt>
                <c:pt idx="10">
                  <c:v>5.4695562435500514E-5</c:v>
                </c:pt>
                <c:pt idx="11">
                  <c:v>2.0983832129342966E-5</c:v>
                </c:pt>
                <c:pt idx="12">
                  <c:v>1.7371861025111802E-5</c:v>
                </c:pt>
                <c:pt idx="13">
                  <c:v>1.8231854145166839E-5</c:v>
                </c:pt>
                <c:pt idx="14">
                  <c:v>3.0099759201926384E-5</c:v>
                </c:pt>
                <c:pt idx="15">
                  <c:v>3.9903680770553835E-5</c:v>
                </c:pt>
                <c:pt idx="16">
                  <c:v>2.7691778465772275E-5</c:v>
                </c:pt>
                <c:pt idx="17">
                  <c:v>4.9363605091159268E-5</c:v>
                </c:pt>
                <c:pt idx="18">
                  <c:v>5.1943584451324387E-5</c:v>
                </c:pt>
                <c:pt idx="19">
                  <c:v>2.6487788097695219E-5</c:v>
                </c:pt>
                <c:pt idx="20">
                  <c:v>1.1231510147918817E-4</c:v>
                </c:pt>
                <c:pt idx="21">
                  <c:v>2.8603371173030614E-4</c:v>
                </c:pt>
                <c:pt idx="22">
                  <c:v>1.2985896112831097E-4</c:v>
                </c:pt>
                <c:pt idx="23">
                  <c:v>7.636738906088752E-5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67-4CBF-A49F-9A5A7549E636}"/>
            </c:ext>
          </c:extLst>
        </c:ser>
        <c:ser>
          <c:idx val="1"/>
          <c:order val="1"/>
          <c:tx>
            <c:v>B2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Energy'!$G$3:$G$26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Energy'!$I$3:$I$26</c:f>
              <c:numCache>
                <c:formatCode>General</c:formatCode>
                <c:ptCount val="24"/>
                <c:pt idx="0">
                  <c:v>2.1689886480908152E-2</c:v>
                </c:pt>
                <c:pt idx="1">
                  <c:v>2.1425180598555211E-2</c:v>
                </c:pt>
                <c:pt idx="2">
                  <c:v>2.1025111799105607E-2</c:v>
                </c:pt>
                <c:pt idx="3">
                  <c:v>2.0524939800481597E-2</c:v>
                </c:pt>
                <c:pt idx="4">
                  <c:v>2.0374269005847954E-2</c:v>
                </c:pt>
                <c:pt idx="5">
                  <c:v>2.1190746474028209E-2</c:v>
                </c:pt>
                <c:pt idx="6">
                  <c:v>2.2164430684554523E-2</c:v>
                </c:pt>
                <c:pt idx="7">
                  <c:v>2.6991744066047471E-2</c:v>
                </c:pt>
                <c:pt idx="8">
                  <c:v>3.6685414516683862E-2</c:v>
                </c:pt>
                <c:pt idx="9">
                  <c:v>4.5514275885792911E-2</c:v>
                </c:pt>
                <c:pt idx="10">
                  <c:v>4.790952872377021E-2</c:v>
                </c:pt>
                <c:pt idx="11">
                  <c:v>4.9973684210526323E-2</c:v>
                </c:pt>
                <c:pt idx="12">
                  <c:v>4.7912796697626416E-2</c:v>
                </c:pt>
                <c:pt idx="13">
                  <c:v>5.1327141382868938E-2</c:v>
                </c:pt>
                <c:pt idx="14">
                  <c:v>5.5523735810113516E-2</c:v>
                </c:pt>
                <c:pt idx="15">
                  <c:v>5.604041967664259E-2</c:v>
                </c:pt>
                <c:pt idx="16">
                  <c:v>5.2621431028551768E-2</c:v>
                </c:pt>
                <c:pt idx="17">
                  <c:v>4.6793601651186789E-2</c:v>
                </c:pt>
                <c:pt idx="18">
                  <c:v>3.8770381836945304E-2</c:v>
                </c:pt>
                <c:pt idx="19">
                  <c:v>3.4464224286205714E-2</c:v>
                </c:pt>
                <c:pt idx="20">
                  <c:v>2.8204334365325077E-2</c:v>
                </c:pt>
                <c:pt idx="21">
                  <c:v>2.5589095287237702E-2</c:v>
                </c:pt>
                <c:pt idx="22">
                  <c:v>2.2083419332645338E-2</c:v>
                </c:pt>
                <c:pt idx="23">
                  <c:v>2.0963708290333678E-2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67-4CBF-A49F-9A5A7549E636}"/>
            </c:ext>
          </c:extLst>
        </c:ser>
        <c:ser>
          <c:idx val="2"/>
          <c:order val="2"/>
          <c:tx>
            <c:v>B3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Energy'!$G$3:$G$26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Energy'!$J$3:$J$26</c:f>
              <c:numCache>
                <c:formatCode>General</c:formatCode>
                <c:ptCount val="24"/>
                <c:pt idx="0">
                  <c:v>2.1126934984520122E-2</c:v>
                </c:pt>
                <c:pt idx="1">
                  <c:v>2.0830065359477123E-2</c:v>
                </c:pt>
                <c:pt idx="2">
                  <c:v>1.9151874785001719E-2</c:v>
                </c:pt>
                <c:pt idx="3">
                  <c:v>1.8640006879944961E-2</c:v>
                </c:pt>
                <c:pt idx="4">
                  <c:v>1.9129858961128312E-2</c:v>
                </c:pt>
                <c:pt idx="5">
                  <c:v>2.1406604747162022E-2</c:v>
                </c:pt>
                <c:pt idx="6">
                  <c:v>2.3277605779153769E-2</c:v>
                </c:pt>
                <c:pt idx="7">
                  <c:v>3.5309081527347783E-2</c:v>
                </c:pt>
                <c:pt idx="8">
                  <c:v>4.7492260061919506E-2</c:v>
                </c:pt>
                <c:pt idx="9">
                  <c:v>5.6253766769865841E-2</c:v>
                </c:pt>
                <c:pt idx="10">
                  <c:v>6.1547815617475063E-2</c:v>
                </c:pt>
                <c:pt idx="11">
                  <c:v>6.7636394908840727E-2</c:v>
                </c:pt>
                <c:pt idx="12">
                  <c:v>6.8949776401788787E-2</c:v>
                </c:pt>
                <c:pt idx="13">
                  <c:v>6.4067595459236321E-2</c:v>
                </c:pt>
                <c:pt idx="14">
                  <c:v>6.1512383900928787E-2</c:v>
                </c:pt>
                <c:pt idx="15">
                  <c:v>6.3157550739594073E-2</c:v>
                </c:pt>
                <c:pt idx="16">
                  <c:v>6.1369109047127626E-2</c:v>
                </c:pt>
                <c:pt idx="17">
                  <c:v>5.6864121087031302E-2</c:v>
                </c:pt>
                <c:pt idx="18">
                  <c:v>4.8606123151014792E-2</c:v>
                </c:pt>
                <c:pt idx="19">
                  <c:v>3.7849501203990367E-2</c:v>
                </c:pt>
                <c:pt idx="20">
                  <c:v>3.0738734090127281E-2</c:v>
                </c:pt>
                <c:pt idx="21">
                  <c:v>2.6373065015479875E-2</c:v>
                </c:pt>
                <c:pt idx="22">
                  <c:v>2.385208118335053E-2</c:v>
                </c:pt>
                <c:pt idx="23">
                  <c:v>2.3266597867217062E-2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67-4CBF-A49F-9A5A7549E636}"/>
            </c:ext>
          </c:extLst>
        </c:ser>
        <c:ser>
          <c:idx val="3"/>
          <c:order val="3"/>
          <c:tx>
            <c:v>Community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Energy'!$G$3:$G$26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Energy'!$K$3:$K$26</c:f>
              <c:numCache>
                <c:formatCode>General</c:formatCode>
                <c:ptCount val="24"/>
                <c:pt idx="0">
                  <c:v>4.321157296137812E-2</c:v>
                </c:pt>
                <c:pt idx="1">
                  <c:v>4.2293938449363598E-2</c:v>
                </c:pt>
                <c:pt idx="2">
                  <c:v>4.2746043366304692E-2</c:v>
                </c:pt>
                <c:pt idx="3">
                  <c:v>3.9202762124836601E-2</c:v>
                </c:pt>
                <c:pt idx="4">
                  <c:v>3.9545546855589954E-2</c:v>
                </c:pt>
                <c:pt idx="5">
                  <c:v>4.2643001329067766E-2</c:v>
                </c:pt>
                <c:pt idx="6">
                  <c:v>4.5487445826625388E-2</c:v>
                </c:pt>
                <c:pt idx="7">
                  <c:v>6.2393074538028906E-2</c:v>
                </c:pt>
                <c:pt idx="8">
                  <c:v>8.4369514724423805E-2</c:v>
                </c:pt>
                <c:pt idx="9">
                  <c:v>0.10179831441348468</c:v>
                </c:pt>
                <c:pt idx="10">
                  <c:v>0.10951203990368076</c:v>
                </c:pt>
                <c:pt idx="11">
                  <c:v>0.11763106295149639</c:v>
                </c:pt>
                <c:pt idx="12">
                  <c:v>0.11687994496044031</c:v>
                </c:pt>
                <c:pt idx="13">
                  <c:v>0.11541296869625042</c:v>
                </c:pt>
                <c:pt idx="14">
                  <c:v>0.11706621947024425</c:v>
                </c:pt>
                <c:pt idx="15">
                  <c:v>0.11923787409700723</c:v>
                </c:pt>
                <c:pt idx="16">
                  <c:v>0.11401823185414517</c:v>
                </c:pt>
                <c:pt idx="17">
                  <c:v>0.10370708634330925</c:v>
                </c:pt>
                <c:pt idx="18">
                  <c:v>8.7428448572411416E-2</c:v>
                </c:pt>
                <c:pt idx="19">
                  <c:v>7.2340213278293777E-2</c:v>
                </c:pt>
                <c:pt idx="20">
                  <c:v>5.9055383556931539E-2</c:v>
                </c:pt>
                <c:pt idx="21">
                  <c:v>5.2248194014447885E-2</c:v>
                </c:pt>
                <c:pt idx="22">
                  <c:v>4.6065359477124174E-2</c:v>
                </c:pt>
                <c:pt idx="23">
                  <c:v>4.4306673546611629E-2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67-4CBF-A49F-9A5A7549E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7583535"/>
        <c:axId val="1676529967"/>
      </c:lineChart>
      <c:catAx>
        <c:axId val="17075835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676529967"/>
        <c:crosses val="autoZero"/>
        <c:auto val="1"/>
        <c:lblAlgn val="ctr"/>
        <c:lblOffset val="100"/>
        <c:noMultiLvlLbl val="0"/>
      </c:catAx>
      <c:valAx>
        <c:axId val="1676529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07583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Base scenario with services and PV panels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Energy'!$M$3:$M$26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Energy'!$N$3:$N$26</c:f>
              <c:numCache>
                <c:formatCode>General</c:formatCode>
                <c:ptCount val="24"/>
                <c:pt idx="0">
                  <c:v>3.9475149594984195E-4</c:v>
                </c:pt>
                <c:pt idx="1">
                  <c:v>3.8692491331269352E-5</c:v>
                </c:pt>
                <c:pt idx="2">
                  <c:v>2.5690567821973656E-3</c:v>
                </c:pt>
                <c:pt idx="3">
                  <c:v>3.7815444410044724E-5</c:v>
                </c:pt>
                <c:pt idx="4">
                  <c:v>4.1418888613691103E-5</c:v>
                </c:pt>
                <c:pt idx="5">
                  <c:v>4.5650107877536973E-5</c:v>
                </c:pt>
                <c:pt idx="6">
                  <c:v>4.5409362917096655E-5</c:v>
                </c:pt>
                <c:pt idx="7">
                  <c:v>9.2248944633642916E-5</c:v>
                </c:pt>
                <c:pt idx="8">
                  <c:v>1.9184014582043348E-4</c:v>
                </c:pt>
                <c:pt idx="9">
                  <c:v>2.551427588579291E-5</c:v>
                </c:pt>
                <c:pt idx="10">
                  <c:v>4.5276917784657726E-5</c:v>
                </c:pt>
                <c:pt idx="11">
                  <c:v>1.0569315445476435E-5</c:v>
                </c:pt>
                <c:pt idx="12">
                  <c:v>1.1936704506363931E-6</c:v>
                </c:pt>
                <c:pt idx="13">
                  <c:v>2.1267629858961155E-6</c:v>
                </c:pt>
                <c:pt idx="14">
                  <c:v>1.3212074303405571E-5</c:v>
                </c:pt>
                <c:pt idx="15">
                  <c:v>2.2734778121775028E-5</c:v>
                </c:pt>
                <c:pt idx="16">
                  <c:v>1.2063123495012041E-5</c:v>
                </c:pt>
                <c:pt idx="17">
                  <c:v>3.4023907808737521E-5</c:v>
                </c:pt>
                <c:pt idx="18">
                  <c:v>3.8862229102167177E-5</c:v>
                </c:pt>
                <c:pt idx="19">
                  <c:v>2.6487788097695219E-5</c:v>
                </c:pt>
                <c:pt idx="20">
                  <c:v>1.1231510147918817E-4</c:v>
                </c:pt>
                <c:pt idx="21">
                  <c:v>2.8603371173030614E-4</c:v>
                </c:pt>
                <c:pt idx="22">
                  <c:v>1.2985896112831097E-4</c:v>
                </c:pt>
                <c:pt idx="23">
                  <c:v>7.636738906088752E-5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1F-4288-A5B8-EC66243252BD}"/>
            </c:ext>
          </c:extLst>
        </c:ser>
        <c:ser>
          <c:idx val="1"/>
          <c:order val="1"/>
          <c:tx>
            <c:v>B2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Energy'!$M$3:$M$26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Energy'!$O$3:$O$26</c:f>
              <c:numCache>
                <c:formatCode>General</c:formatCode>
                <c:ptCount val="24"/>
                <c:pt idx="0">
                  <c:v>2.1689886480908152E-2</c:v>
                </c:pt>
                <c:pt idx="1">
                  <c:v>2.1425180598555211E-2</c:v>
                </c:pt>
                <c:pt idx="2">
                  <c:v>2.1025111799105607E-2</c:v>
                </c:pt>
                <c:pt idx="3">
                  <c:v>2.0524939800481597E-2</c:v>
                </c:pt>
                <c:pt idx="4">
                  <c:v>2.0374269005847954E-2</c:v>
                </c:pt>
                <c:pt idx="5">
                  <c:v>2.1190746474028209E-2</c:v>
                </c:pt>
                <c:pt idx="6">
                  <c:v>2.2164430684554523E-2</c:v>
                </c:pt>
                <c:pt idx="7">
                  <c:v>2.6991744066047471E-2</c:v>
                </c:pt>
                <c:pt idx="8">
                  <c:v>3.6685414516683862E-2</c:v>
                </c:pt>
                <c:pt idx="9">
                  <c:v>4.5466701066391467E-2</c:v>
                </c:pt>
                <c:pt idx="10">
                  <c:v>4.7815342277261787E-2</c:v>
                </c:pt>
                <c:pt idx="11">
                  <c:v>4.9869539043687655E-2</c:v>
                </c:pt>
                <c:pt idx="12">
                  <c:v>4.7751014791881673E-2</c:v>
                </c:pt>
                <c:pt idx="13">
                  <c:v>5.1123555211558307E-2</c:v>
                </c:pt>
                <c:pt idx="14">
                  <c:v>5.5354858961128309E-2</c:v>
                </c:pt>
                <c:pt idx="15">
                  <c:v>5.5868730650154803E-2</c:v>
                </c:pt>
                <c:pt idx="16">
                  <c:v>5.2465144478844171E-2</c:v>
                </c:pt>
                <c:pt idx="17">
                  <c:v>4.6640204678362572E-2</c:v>
                </c:pt>
                <c:pt idx="18">
                  <c:v>3.8639568283453732E-2</c:v>
                </c:pt>
                <c:pt idx="19">
                  <c:v>3.4464224286205714E-2</c:v>
                </c:pt>
                <c:pt idx="20">
                  <c:v>2.8204334365325077E-2</c:v>
                </c:pt>
                <c:pt idx="21">
                  <c:v>2.5589095287237702E-2</c:v>
                </c:pt>
                <c:pt idx="22">
                  <c:v>2.2083419332645338E-2</c:v>
                </c:pt>
                <c:pt idx="23">
                  <c:v>2.0963708290333678E-2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1F-4288-A5B8-EC66243252BD}"/>
            </c:ext>
          </c:extLst>
        </c:ser>
        <c:ser>
          <c:idx val="2"/>
          <c:order val="2"/>
          <c:tx>
            <c:v>B3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Energy'!$M$3:$M$26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Energy'!$P$3:$P$26</c:f>
              <c:numCache>
                <c:formatCode>General</c:formatCode>
                <c:ptCount val="24"/>
                <c:pt idx="0">
                  <c:v>2.1126934984520122E-2</c:v>
                </c:pt>
                <c:pt idx="1">
                  <c:v>2.0830065359477123E-2</c:v>
                </c:pt>
                <c:pt idx="2">
                  <c:v>1.9151874785001719E-2</c:v>
                </c:pt>
                <c:pt idx="3">
                  <c:v>1.8640006879944961E-2</c:v>
                </c:pt>
                <c:pt idx="4">
                  <c:v>1.9129858961128312E-2</c:v>
                </c:pt>
                <c:pt idx="5">
                  <c:v>2.1406604747162022E-2</c:v>
                </c:pt>
                <c:pt idx="6">
                  <c:v>2.3277605779153769E-2</c:v>
                </c:pt>
                <c:pt idx="7">
                  <c:v>3.5309081527347783E-2</c:v>
                </c:pt>
                <c:pt idx="8">
                  <c:v>4.7492260061919506E-2</c:v>
                </c:pt>
                <c:pt idx="9">
                  <c:v>5.6158617131062946E-2</c:v>
                </c:pt>
                <c:pt idx="10">
                  <c:v>6.1359442724458202E-2</c:v>
                </c:pt>
                <c:pt idx="11">
                  <c:v>6.7428104575163406E-2</c:v>
                </c:pt>
                <c:pt idx="12">
                  <c:v>6.8626212590299288E-2</c:v>
                </c:pt>
                <c:pt idx="13">
                  <c:v>6.3660423116615072E-2</c:v>
                </c:pt>
                <c:pt idx="14">
                  <c:v>6.1174630202958373E-2</c:v>
                </c:pt>
                <c:pt idx="15">
                  <c:v>6.28141726866185E-2</c:v>
                </c:pt>
                <c:pt idx="16">
                  <c:v>6.1056535947712424E-2</c:v>
                </c:pt>
                <c:pt idx="17">
                  <c:v>5.6557327141382868E-2</c:v>
                </c:pt>
                <c:pt idx="18">
                  <c:v>4.8344496044031654E-2</c:v>
                </c:pt>
                <c:pt idx="19">
                  <c:v>3.7849501203990367E-2</c:v>
                </c:pt>
                <c:pt idx="20">
                  <c:v>3.0738734090127281E-2</c:v>
                </c:pt>
                <c:pt idx="21">
                  <c:v>2.6373065015479875E-2</c:v>
                </c:pt>
                <c:pt idx="22">
                  <c:v>2.385208118335053E-2</c:v>
                </c:pt>
                <c:pt idx="23">
                  <c:v>2.3266597867217062E-2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1F-4288-A5B8-EC66243252BD}"/>
            </c:ext>
          </c:extLst>
        </c:ser>
        <c:ser>
          <c:idx val="3"/>
          <c:order val="3"/>
          <c:tx>
            <c:v>Community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'Primary Energy'!$M$3:$M$26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'Primary Energy'!$Q$3:$Q$26</c:f>
              <c:numCache>
                <c:formatCode>General</c:formatCode>
                <c:ptCount val="24"/>
                <c:pt idx="0">
                  <c:v>4.321157296137812E-2</c:v>
                </c:pt>
                <c:pt idx="1">
                  <c:v>4.2293938449363598E-2</c:v>
                </c:pt>
                <c:pt idx="2">
                  <c:v>4.2746043366304692E-2</c:v>
                </c:pt>
                <c:pt idx="3">
                  <c:v>3.9202762124836601E-2</c:v>
                </c:pt>
                <c:pt idx="4">
                  <c:v>3.9545546855589954E-2</c:v>
                </c:pt>
                <c:pt idx="5">
                  <c:v>4.2643001329067766E-2</c:v>
                </c:pt>
                <c:pt idx="6">
                  <c:v>4.5487445826625388E-2</c:v>
                </c:pt>
                <c:pt idx="7">
                  <c:v>6.2393074538028906E-2</c:v>
                </c:pt>
                <c:pt idx="8">
                  <c:v>8.4369514724423805E-2</c:v>
                </c:pt>
                <c:pt idx="9">
                  <c:v>0.10165083247334022</c:v>
                </c:pt>
                <c:pt idx="10">
                  <c:v>0.10922006191950466</c:v>
                </c:pt>
                <c:pt idx="11">
                  <c:v>0.11730821293429654</c:v>
                </c:pt>
                <c:pt idx="12">
                  <c:v>0.11637842105263159</c:v>
                </c:pt>
                <c:pt idx="13">
                  <c:v>0.11478185156518748</c:v>
                </c:pt>
                <c:pt idx="14">
                  <c:v>0.1165427012383901</c:v>
                </c:pt>
                <c:pt idx="15">
                  <c:v>0.11870563811489508</c:v>
                </c:pt>
                <c:pt idx="16">
                  <c:v>0.11353374355005159</c:v>
                </c:pt>
                <c:pt idx="17">
                  <c:v>0.10323155572755419</c:v>
                </c:pt>
                <c:pt idx="18">
                  <c:v>8.7022926556587554E-2</c:v>
                </c:pt>
                <c:pt idx="19">
                  <c:v>7.2340213278293777E-2</c:v>
                </c:pt>
                <c:pt idx="20">
                  <c:v>5.9055383556931539E-2</c:v>
                </c:pt>
                <c:pt idx="21">
                  <c:v>5.2248194014447885E-2</c:v>
                </c:pt>
                <c:pt idx="22">
                  <c:v>4.6065359477124174E-2</c:v>
                </c:pt>
                <c:pt idx="23">
                  <c:v>4.4306673546611629E-2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1F-4288-A5B8-EC6624325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9133007"/>
        <c:axId val="1687636575"/>
      </c:lineChart>
      <c:catAx>
        <c:axId val="1549133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687636575"/>
        <c:crosses val="autoZero"/>
        <c:auto val="1"/>
        <c:lblAlgn val="ctr"/>
        <c:lblOffset val="100"/>
        <c:noMultiLvlLbl val="0"/>
      </c:catAx>
      <c:valAx>
        <c:axId val="168763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49133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Energy from the grid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Graphs!$AR$1</c:f>
              <c:strCache>
                <c:ptCount val="1"/>
                <c:pt idx="0">
                  <c:v>Base scenario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Graphs!$AQ$2:$AQ$5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Graphs!$AR$2:$AR$5</c:f>
              <c:numCache>
                <c:formatCode>0.00</c:formatCode>
                <c:ptCount val="4"/>
                <c:pt idx="0">
                  <c:v>7.8369999999999997</c:v>
                </c:pt>
                <c:pt idx="1">
                  <c:v>4859.128999999999</c:v>
                </c:pt>
                <c:pt idx="2">
                  <c:v>5688.4694</c:v>
                </c:pt>
                <c:pt idx="3">
                  <c:v>10555.435399999998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D3-432A-BA89-6049D8A7431B}"/>
            </c:ext>
          </c:extLst>
        </c:ser>
        <c:ser>
          <c:idx val="1"/>
          <c:order val="1"/>
          <c:tx>
            <c:strRef>
              <c:f>Graphs!$AS$1</c:f>
              <c:strCache>
                <c:ptCount val="1"/>
                <c:pt idx="0">
                  <c:v>Base scenario w/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Graphs!$AQ$2:$AQ$5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Graphs!$AS$2:$AS$5</c:f>
              <c:numCache>
                <c:formatCode>0.00</c:formatCode>
                <c:ptCount val="4"/>
                <c:pt idx="0">
                  <c:v>25.747321621047867</c:v>
                </c:pt>
                <c:pt idx="1">
                  <c:v>4859.128999999999</c:v>
                </c:pt>
                <c:pt idx="2">
                  <c:v>5688.4694</c:v>
                </c:pt>
                <c:pt idx="3">
                  <c:v>10573.345721621048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D3-432A-BA89-6049D8A7431B}"/>
            </c:ext>
          </c:extLst>
        </c:ser>
        <c:ser>
          <c:idx val="2"/>
          <c:order val="2"/>
          <c:tx>
            <c:strRef>
              <c:f>Graphs!$AT$1</c:f>
              <c:strCache>
                <c:ptCount val="1"/>
                <c:pt idx="0">
                  <c:v>Base scenario w/ services and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Graphs!$AQ$2:$AQ$5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Graphs!$AT$2:$AT$5</c:f>
              <c:numCache>
                <c:formatCode>0.00</c:formatCode>
                <c:ptCount val="4"/>
                <c:pt idx="0">
                  <c:v>24.388261621047871</c:v>
                </c:pt>
                <c:pt idx="1">
                  <c:v>4842.9388999999992</c:v>
                </c:pt>
                <c:pt idx="2">
                  <c:v>5656.0891999999994</c:v>
                </c:pt>
                <c:pt idx="3">
                  <c:v>10523.15641162105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D3-432A-BA89-6049D8A7431B}"/>
            </c:ext>
          </c:extLst>
        </c:ser>
        <c:ser>
          <c:idx val="3"/>
          <c:order val="3"/>
          <c:tx>
            <c:strRef>
              <c:f>Graphs!$AU$1</c:f>
              <c:strCache>
                <c:ptCount val="1"/>
                <c:pt idx="0">
                  <c:v>Base scenario w/ services and PV and Bat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Graphs!$AQ$2:$AQ$5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Graphs!$AU$2:$AU$5</c:f>
              <c:numCache>
                <c:formatCode>0.00</c:formatCode>
                <c:ptCount val="4"/>
                <c:pt idx="0">
                  <c:v>23.203656746047866</c:v>
                </c:pt>
                <c:pt idx="1">
                  <c:v>4842.9388999999992</c:v>
                </c:pt>
                <c:pt idx="2">
                  <c:v>5656.0891999999994</c:v>
                </c:pt>
                <c:pt idx="3">
                  <c:v>10523.15641162105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D3-432A-BA89-6049D8A74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7465535"/>
        <c:axId val="1548394479"/>
      </c:barChart>
      <c:catAx>
        <c:axId val="3574655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48394479"/>
        <c:crosses val="autoZero"/>
        <c:auto val="1"/>
        <c:lblAlgn val="ctr"/>
        <c:lblOffset val="100"/>
        <c:noMultiLvlLbl val="0"/>
      </c:catAx>
      <c:valAx>
        <c:axId val="1548394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5746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Emissions (kg/CO2e)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Graphs!$AR$8</c:f>
              <c:strCache>
                <c:ptCount val="1"/>
                <c:pt idx="0">
                  <c:v>Base scenario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Graphs!$AQ$9:$AQ$12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Graphs!$AR$9:$AR$12</c:f>
              <c:numCache>
                <c:formatCode>0.00</c:formatCode>
                <c:ptCount val="4"/>
                <c:pt idx="0">
                  <c:v>1.5674000000000003</c:v>
                </c:pt>
                <c:pt idx="1">
                  <c:v>971.82580000000019</c:v>
                </c:pt>
                <c:pt idx="2">
                  <c:v>1137.6938800000003</c:v>
                </c:pt>
                <c:pt idx="3">
                  <c:v>2111.0870800000002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FE-410B-ACD8-7EA3A8977F3A}"/>
            </c:ext>
          </c:extLst>
        </c:ser>
        <c:ser>
          <c:idx val="1"/>
          <c:order val="1"/>
          <c:tx>
            <c:strRef>
              <c:f>Graphs!$AS$8</c:f>
              <c:strCache>
                <c:ptCount val="1"/>
                <c:pt idx="0">
                  <c:v>Base scenario w/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Graphs!$AQ$9:$AQ$12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Graphs!$AS$9:$AS$12</c:f>
              <c:numCache>
                <c:formatCode>0.00</c:formatCode>
                <c:ptCount val="4"/>
                <c:pt idx="0">
                  <c:v>5.149464324209573</c:v>
                </c:pt>
                <c:pt idx="1">
                  <c:v>971.82580000000019</c:v>
                </c:pt>
                <c:pt idx="2">
                  <c:v>1137.6938800000003</c:v>
                </c:pt>
                <c:pt idx="3">
                  <c:v>2114.6691443242098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FE-410B-ACD8-7EA3A8977F3A}"/>
            </c:ext>
          </c:extLst>
        </c:ser>
        <c:ser>
          <c:idx val="2"/>
          <c:order val="2"/>
          <c:tx>
            <c:strRef>
              <c:f>Graphs!$AT$8</c:f>
              <c:strCache>
                <c:ptCount val="1"/>
                <c:pt idx="0">
                  <c:v>Base scenario w/ services and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Graphs!$AQ$9:$AQ$12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Graphs!$AT$9:$AT$12</c:f>
              <c:numCache>
                <c:formatCode>0.00</c:formatCode>
                <c:ptCount val="4"/>
                <c:pt idx="0">
                  <c:v>4.8776523242095733</c:v>
                </c:pt>
                <c:pt idx="1">
                  <c:v>968.58778000000007</c:v>
                </c:pt>
                <c:pt idx="2">
                  <c:v>1131.2178400000003</c:v>
                </c:pt>
                <c:pt idx="3">
                  <c:v>2104.6312823242101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FE-410B-ACD8-7EA3A8977F3A}"/>
            </c:ext>
          </c:extLst>
        </c:ser>
        <c:ser>
          <c:idx val="3"/>
          <c:order val="3"/>
          <c:tx>
            <c:strRef>
              <c:f>Graphs!$AU$8</c:f>
              <c:strCache>
                <c:ptCount val="1"/>
                <c:pt idx="0">
                  <c:v>Base scenario w/ services and PV and Bat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Graphs!$AQ$9:$AQ$12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Graphs!$AU$9:$AU$12</c:f>
              <c:numCache>
                <c:formatCode>0.00</c:formatCode>
                <c:ptCount val="4"/>
                <c:pt idx="0">
                  <c:v>4.640731349209573</c:v>
                </c:pt>
                <c:pt idx="1">
                  <c:v>968.58778000000007</c:v>
                </c:pt>
                <c:pt idx="2">
                  <c:v>1131.2178400000003</c:v>
                </c:pt>
                <c:pt idx="3">
                  <c:v>2104.6312823242101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FE-410B-ACD8-7EA3A8977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94444256"/>
        <c:axId val="2031275024"/>
      </c:barChart>
      <c:catAx>
        <c:axId val="794444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31275024"/>
        <c:crosses val="autoZero"/>
        <c:auto val="1"/>
        <c:lblAlgn val="ctr"/>
        <c:lblOffset val="100"/>
        <c:noMultiLvlLbl val="0"/>
      </c:catAx>
      <c:valAx>
        <c:axId val="203127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9444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0" i="0" u="none" strike="noStrike" baseline="0">
                <a:effectLst/>
              </a:rPr>
              <a:t>Possible energy that can be stored in the battery </a:t>
            </a:r>
          </a:p>
          <a:p>
            <a:pPr>
              <a:defRPr/>
            </a:pPr>
            <a:r>
              <a:rPr lang="pt-PT" sz="1400" b="0" i="0" u="none" strike="noStrike" baseline="0">
                <a:effectLst/>
              </a:rPr>
              <a:t>VS</a:t>
            </a:r>
          </a:p>
          <a:p>
            <a:pPr>
              <a:defRPr/>
            </a:pPr>
            <a:r>
              <a:rPr lang="pt-PT" sz="1400" b="0" i="0" u="none" strike="noStrike" baseline="0">
                <a:effectLst/>
              </a:rPr>
              <a:t> Battery Capacity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'Services+PV+Battery Management'!$M$3:$M$26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'Services+PV+Battery Management'!$O$3:$O$26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4.3560000000000001E-2</c:v>
                </c:pt>
                <c:pt idx="13">
                  <c:v>0.10892500000000001</c:v>
                </c:pt>
                <c:pt idx="14">
                  <c:v>0.11961000000000002</c:v>
                </c:pt>
                <c:pt idx="15">
                  <c:v>0.11961000000000002</c:v>
                </c:pt>
                <c:pt idx="16">
                  <c:v>0.12997500000000003</c:v>
                </c:pt>
                <c:pt idx="17">
                  <c:v>0.12997500000000003</c:v>
                </c:pt>
                <c:pt idx="18">
                  <c:v>0.12997500000000003</c:v>
                </c:pt>
                <c:pt idx="19">
                  <c:v>0.12997500000000003</c:v>
                </c:pt>
                <c:pt idx="20">
                  <c:v>0.12997500000000003</c:v>
                </c:pt>
                <c:pt idx="21">
                  <c:v>0.12997500000000003</c:v>
                </c:pt>
                <c:pt idx="22">
                  <c:v>0.12997500000000003</c:v>
                </c:pt>
                <c:pt idx="23">
                  <c:v>0.25995000000000007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E-4F38-B111-BB300625F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68111"/>
        <c:axId val="194292719"/>
      </c:lineChart>
      <c:catAx>
        <c:axId val="76968111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4292719"/>
        <c:crosses val="autoZero"/>
        <c:auto val="1"/>
        <c:lblAlgn val="ctr"/>
        <c:lblOffset val="100"/>
        <c:noMultiLvlLbl val="0"/>
      </c:catAx>
      <c:valAx>
        <c:axId val="19429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6968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Production of Energy by PVs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'Services+PV Management'!$G$3:$G$26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'Services+PV Management'!$H$3:$H$26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5.5320000000000008E-2</c:v>
                </c:pt>
                <c:pt idx="10">
                  <c:v>0.10952000000000001</c:v>
                </c:pt>
                <c:pt idx="11">
                  <c:v>0.12110000000000001</c:v>
                </c:pt>
                <c:pt idx="12">
                  <c:v>0.18812000000000001</c:v>
                </c:pt>
                <c:pt idx="13">
                  <c:v>0.23673</c:v>
                </c:pt>
                <c:pt idx="14">
                  <c:v>0.19637000000000002</c:v>
                </c:pt>
                <c:pt idx="15">
                  <c:v>0.19963999999999998</c:v>
                </c:pt>
                <c:pt idx="16">
                  <c:v>0.18173000000000003</c:v>
                </c:pt>
                <c:pt idx="17">
                  <c:v>0.17837</c:v>
                </c:pt>
                <c:pt idx="18">
                  <c:v>0.15211000000000002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3E-4DD3-BFC3-F5D9DA0930BD}"/>
            </c:ext>
          </c:extLst>
        </c:ser>
        <c:ser>
          <c:idx val="1"/>
          <c:order val="1"/>
          <c:tx>
            <c:v>B2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'Services+PV Management'!$G$3:$G$26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'Services+PV Management'!$I$3:$I$26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0.55320000000000014</c:v>
                </c:pt>
                <c:pt idx="10">
                  <c:v>1.0952000000000002</c:v>
                </c:pt>
                <c:pt idx="11">
                  <c:v>1.2110000000000001</c:v>
                </c:pt>
                <c:pt idx="12">
                  <c:v>1.8812000000000002</c:v>
                </c:pt>
                <c:pt idx="13">
                  <c:v>2.3673000000000002</c:v>
                </c:pt>
                <c:pt idx="14">
                  <c:v>1.9637000000000002</c:v>
                </c:pt>
                <c:pt idx="15">
                  <c:v>1.9964</c:v>
                </c:pt>
                <c:pt idx="16">
                  <c:v>1.8173000000000004</c:v>
                </c:pt>
                <c:pt idx="17">
                  <c:v>1.7837000000000001</c:v>
                </c:pt>
                <c:pt idx="18">
                  <c:v>1.5211000000000001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3E-4DD3-BFC3-F5D9DA0930BD}"/>
            </c:ext>
          </c:extLst>
        </c:ser>
        <c:ser>
          <c:idx val="2"/>
          <c:order val="2"/>
          <c:tx>
            <c:v>B3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'Services+PV Management'!$G$3:$G$26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'Services+PV Management'!$J$3:$J$26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1.1064000000000003</c:v>
                </c:pt>
                <c:pt idx="10">
                  <c:v>2.1904000000000003</c:v>
                </c:pt>
                <c:pt idx="11">
                  <c:v>2.4220000000000002</c:v>
                </c:pt>
                <c:pt idx="12">
                  <c:v>3.7624000000000004</c:v>
                </c:pt>
                <c:pt idx="13">
                  <c:v>4.7346000000000004</c:v>
                </c:pt>
                <c:pt idx="14">
                  <c:v>3.9274000000000004</c:v>
                </c:pt>
                <c:pt idx="15">
                  <c:v>3.9927999999999999</c:v>
                </c:pt>
                <c:pt idx="16">
                  <c:v>3.6346000000000007</c:v>
                </c:pt>
                <c:pt idx="17">
                  <c:v>3.5674000000000001</c:v>
                </c:pt>
                <c:pt idx="18">
                  <c:v>3.0422000000000002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3E-4DD3-BFC3-F5D9DA0930BD}"/>
            </c:ext>
          </c:extLst>
        </c:ser>
        <c:ser>
          <c:idx val="3"/>
          <c:order val="3"/>
          <c:tx>
            <c:v>Community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'Services+PV Management'!$G$3:$G$26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'Services+PV Management'!$K$3:$K$26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1.7149200000000004</c:v>
                </c:pt>
                <c:pt idx="10">
                  <c:v>3.3951200000000004</c:v>
                </c:pt>
                <c:pt idx="11">
                  <c:v>3.7541000000000002</c:v>
                </c:pt>
                <c:pt idx="12">
                  <c:v>5.8317200000000007</c:v>
                </c:pt>
                <c:pt idx="13">
                  <c:v>7.3386300000000002</c:v>
                </c:pt>
                <c:pt idx="14">
                  <c:v>6.0874700000000006</c:v>
                </c:pt>
                <c:pt idx="15">
                  <c:v>6.1888399999999999</c:v>
                </c:pt>
                <c:pt idx="16">
                  <c:v>5.633630000000001</c:v>
                </c:pt>
                <c:pt idx="17">
                  <c:v>5.5294699999999999</c:v>
                </c:pt>
                <c:pt idx="18">
                  <c:v>4.7154100000000003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3E-4DD3-BFC3-F5D9DA093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8964048"/>
        <c:axId val="1697182112"/>
      </c:lineChart>
      <c:catAx>
        <c:axId val="105896404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697182112"/>
        <c:crosses val="autoZero"/>
        <c:auto val="1"/>
        <c:lblAlgn val="ctr"/>
        <c:lblOffset val="100"/>
        <c:noMultiLvlLbl val="0"/>
      </c:catAx>
      <c:valAx>
        <c:axId val="169718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5896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Graphs!$AR$15</c:f>
              <c:strCache>
                <c:ptCount val="1"/>
                <c:pt idx="0">
                  <c:v>Base scenario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Graphs!$AQ$16:$AQ$19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Graphs!$AR$16:$AR$19</c:f>
              <c:numCache>
                <c:formatCode>0.00</c:formatCode>
                <c:ptCount val="4"/>
                <c:pt idx="0">
                  <c:v>1.4541977999999998</c:v>
                </c:pt>
                <c:pt idx="1">
                  <c:v>736.45668079999996</c:v>
                </c:pt>
                <c:pt idx="2">
                  <c:v>920.44633620000002</c:v>
                </c:pt>
                <c:pt idx="3">
                  <c:v>1611.3300466400003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6-44CC-8C8F-E90D7F7792B8}"/>
            </c:ext>
          </c:extLst>
        </c:ser>
        <c:ser>
          <c:idx val="1"/>
          <c:order val="1"/>
          <c:tx>
            <c:strRef>
              <c:f>Graphs!$AS$15</c:f>
              <c:strCache>
                <c:ptCount val="1"/>
                <c:pt idx="0">
                  <c:v>Base scenario w/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Graphs!$AQ$16:$AQ$19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Graphs!$AS$16:$AS$19</c:f>
              <c:numCache>
                <c:formatCode>0.00</c:formatCode>
                <c:ptCount val="4"/>
                <c:pt idx="0">
                  <c:v>3.4386981546607576</c:v>
                </c:pt>
                <c:pt idx="1">
                  <c:v>736.45668079999996</c:v>
                </c:pt>
                <c:pt idx="2">
                  <c:v>920.44633620000002</c:v>
                </c:pt>
                <c:pt idx="3">
                  <c:v>1613.0250786310526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6-44CC-8C8F-E90D7F7792B8}"/>
            </c:ext>
          </c:extLst>
        </c:ser>
        <c:ser>
          <c:idx val="2"/>
          <c:order val="2"/>
          <c:tx>
            <c:strRef>
              <c:f>Graphs!$AT$15</c:f>
              <c:strCache>
                <c:ptCount val="1"/>
                <c:pt idx="0">
                  <c:v>Base scenario w/ services and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Graphs!$AQ$16:$AQ$19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Graphs!$AT$16:$AT$19</c:f>
              <c:numCache>
                <c:formatCode>0.00</c:formatCode>
                <c:ptCount val="4"/>
                <c:pt idx="0">
                  <c:v>3.2092795024842875</c:v>
                </c:pt>
                <c:pt idx="1">
                  <c:v>734.39868516823537</c:v>
                </c:pt>
                <c:pt idx="2">
                  <c:v>916.05097211647058</c:v>
                </c:pt>
                <c:pt idx="3">
                  <c:v>1606.645292172582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56-44CC-8C8F-E90D7F7792B8}"/>
            </c:ext>
          </c:extLst>
        </c:ser>
        <c:ser>
          <c:idx val="3"/>
          <c:order val="3"/>
          <c:tx>
            <c:strRef>
              <c:f>Graphs!$AU$15</c:f>
              <c:strCache>
                <c:ptCount val="1"/>
                <c:pt idx="0">
                  <c:v>Base scenario w/ services and PV and Bat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Graphs!$AQ$16:$AQ$19</c:f>
              <c:strCache>
                <c:ptCount val="4"/>
                <c:pt idx="0">
                  <c:v>B1</c:v>
                </c:pt>
                <c:pt idx="1">
                  <c:v>B2</c:v>
                </c:pt>
                <c:pt idx="2">
                  <c:v>B3</c:v>
                </c:pt>
                <c:pt idx="3">
                  <c:v>Community</c:v>
                </c:pt>
              </c:strCache>
            </c:strRef>
          </c:cat>
          <c:val>
            <c:numRef>
              <c:f>Graphs!$AU$16:$AU$19</c:f>
              <c:numCache>
                <c:formatCode>0.00</c:formatCode>
                <c:ptCount val="4"/>
                <c:pt idx="0">
                  <c:v>3.2793737389342872</c:v>
                </c:pt>
                <c:pt idx="1">
                  <c:v>734.39868516823537</c:v>
                </c:pt>
                <c:pt idx="2">
                  <c:v>916.05097211647058</c:v>
                </c:pt>
                <c:pt idx="3">
                  <c:v>1653.5266547736401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56-44CC-8C8F-E90D7F779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2041583"/>
        <c:axId val="2122046784"/>
      </c:barChart>
      <c:catAx>
        <c:axId val="320415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122046784"/>
        <c:crosses val="autoZero"/>
        <c:auto val="1"/>
        <c:lblAlgn val="ctr"/>
        <c:lblOffset val="100"/>
        <c:noMultiLvlLbl val="0"/>
      </c:catAx>
      <c:valAx>
        <c:axId val="212204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41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Services Management'!A1"/><Relationship Id="rId13" Type="http://schemas.openxmlformats.org/officeDocument/2006/relationships/hyperlink" Target="#'Optimization-Max NPV Community'!A1"/><Relationship Id="rId3" Type="http://schemas.openxmlformats.org/officeDocument/2006/relationships/hyperlink" Target="#'Primary Energy'!A1"/><Relationship Id="rId7" Type="http://schemas.openxmlformats.org/officeDocument/2006/relationships/hyperlink" Target="#'Base Management'!A1"/><Relationship Id="rId12" Type="http://schemas.openxmlformats.org/officeDocument/2006/relationships/hyperlink" Target="#Graphs!A1"/><Relationship Id="rId2" Type="http://schemas.openxmlformats.org/officeDocument/2006/relationships/hyperlink" Target="#Outputs!A1"/><Relationship Id="rId1" Type="http://schemas.openxmlformats.org/officeDocument/2006/relationships/hyperlink" Target="#Inputs!A1"/><Relationship Id="rId6" Type="http://schemas.openxmlformats.org/officeDocument/2006/relationships/hyperlink" Target="#Services!A1"/><Relationship Id="rId11" Type="http://schemas.openxmlformats.org/officeDocument/2006/relationships/hyperlink" Target="#Tariffs!A1"/><Relationship Id="rId5" Type="http://schemas.openxmlformats.org/officeDocument/2006/relationships/hyperlink" Target="#'Conversion Technologies'!A1"/><Relationship Id="rId15" Type="http://schemas.openxmlformats.org/officeDocument/2006/relationships/hyperlink" Target="#'Optimization-Flexible Load'!A1"/><Relationship Id="rId10" Type="http://schemas.openxmlformats.org/officeDocument/2006/relationships/hyperlink" Target="#'Services+PV+Battery Management'!A1"/><Relationship Id="rId4" Type="http://schemas.openxmlformats.org/officeDocument/2006/relationships/hyperlink" Target="#'Final Energy'!A1"/><Relationship Id="rId9" Type="http://schemas.openxmlformats.org/officeDocument/2006/relationships/hyperlink" Target="#'Services+PV Management'!A1"/><Relationship Id="rId14" Type="http://schemas.openxmlformats.org/officeDocument/2006/relationships/hyperlink" Target="#'Optimization-Min Cost Community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137583</xdr:colOff>
      <xdr:row>1</xdr:row>
      <xdr:rowOff>31752</xdr:rowOff>
    </xdr:from>
    <xdr:to>
      <xdr:col>29</xdr:col>
      <xdr:colOff>465666</xdr:colOff>
      <xdr:row>8</xdr:row>
      <xdr:rowOff>10584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34832AA-0C46-25B7-A7B3-37CF28438B3A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 txBox="1"/>
      </xdr:nvSpPr>
      <xdr:spPr>
        <a:xfrm>
          <a:off x="751416" y="211669"/>
          <a:ext cx="17515417" cy="1238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600"/>
            <a:t>The objective of this project</a:t>
          </a:r>
          <a:r>
            <a:rPr lang="pt-PT" sz="1600" baseline="0"/>
            <a:t> </a:t>
          </a:r>
          <a:r>
            <a:rPr lang="pt-PT" sz="16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 to develop a software tool to do the energy management of a local community of IST Alameda Campus and 2 other local agents, namely residential buildings and a school.</a:t>
          </a:r>
        </a:p>
        <a:p>
          <a:pPr algn="ctr"/>
          <a:endParaRPr lang="pt-PT" sz="16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PT" sz="16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pt-PT" sz="16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tool is organized in the following structure:</a:t>
          </a:r>
        </a:p>
        <a:p>
          <a:pPr algn="ctr"/>
          <a:r>
            <a:rPr lang="pt-PT" sz="20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PT" sz="2000" b="1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All buttons are linked to their respective sheet</a:t>
          </a:r>
          <a:r>
            <a:rPr lang="pt-PT" sz="20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endParaRPr lang="pt-PT" sz="16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PT" sz="14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568474</xdr:colOff>
      <xdr:row>8</xdr:row>
      <xdr:rowOff>160264</xdr:rowOff>
    </xdr:from>
    <xdr:to>
      <xdr:col>4</xdr:col>
      <xdr:colOff>105833</xdr:colOff>
      <xdr:row>10</xdr:row>
      <xdr:rowOff>105833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2EBD5C-959B-4E86-93DA-1DE30F61C5DC}"/>
            </a:ext>
          </a:extLst>
        </xdr:cNvPr>
        <xdr:cNvSpPr/>
      </xdr:nvSpPr>
      <xdr:spPr>
        <a:xfrm>
          <a:off x="1182307" y="1599597"/>
          <a:ext cx="1378859" cy="305403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Inputs</a:t>
          </a:r>
        </a:p>
      </xdr:txBody>
    </xdr:sp>
    <xdr:clientData/>
  </xdr:twoCellAnchor>
  <xdr:twoCellAnchor>
    <xdr:from>
      <xdr:col>1</xdr:col>
      <xdr:colOff>572709</xdr:colOff>
      <xdr:row>15</xdr:row>
      <xdr:rowOff>111579</xdr:rowOff>
    </xdr:from>
    <xdr:to>
      <xdr:col>4</xdr:col>
      <xdr:colOff>110068</xdr:colOff>
      <xdr:row>17</xdr:row>
      <xdr:rowOff>57149</xdr:rowOff>
    </xdr:to>
    <xdr:sp macro="" textlink="">
      <xdr:nvSpPr>
        <xdr:cNvPr id="17" name="Rectangle: Rounded Corners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B40668E-5382-42C6-ABBD-114FC97E597A}"/>
            </a:ext>
          </a:extLst>
        </xdr:cNvPr>
        <xdr:cNvSpPr/>
      </xdr:nvSpPr>
      <xdr:spPr>
        <a:xfrm>
          <a:off x="1186542" y="2810329"/>
          <a:ext cx="1378859" cy="305403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Outputs</a:t>
          </a:r>
        </a:p>
      </xdr:txBody>
    </xdr:sp>
    <xdr:clientData/>
  </xdr:twoCellAnchor>
  <xdr:twoCellAnchor>
    <xdr:from>
      <xdr:col>12</xdr:col>
      <xdr:colOff>22374</xdr:colOff>
      <xdr:row>25</xdr:row>
      <xdr:rowOff>95249</xdr:rowOff>
    </xdr:from>
    <xdr:to>
      <xdr:col>15</xdr:col>
      <xdr:colOff>84667</xdr:colOff>
      <xdr:row>27</xdr:row>
      <xdr:rowOff>78317</xdr:rowOff>
    </xdr:to>
    <xdr:sp macro="" textlink="">
      <xdr:nvSpPr>
        <xdr:cNvPr id="19" name="Rectangle: Rounded Corner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405B41-73CF-4D05-BE1B-2F2F7B286583}"/>
            </a:ext>
          </a:extLst>
        </xdr:cNvPr>
        <xdr:cNvSpPr/>
      </xdr:nvSpPr>
      <xdr:spPr>
        <a:xfrm>
          <a:off x="7388374" y="4593166"/>
          <a:ext cx="1903793" cy="342901"/>
        </a:xfrm>
        <a:prstGeom prst="roundRect">
          <a:avLst/>
        </a:prstGeom>
        <a:solidFill>
          <a:schemeClr val="accent5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Primary Energy</a:t>
          </a:r>
        </a:p>
      </xdr:txBody>
    </xdr:sp>
    <xdr:clientData/>
  </xdr:twoCellAnchor>
  <xdr:twoCellAnchor>
    <xdr:from>
      <xdr:col>11</xdr:col>
      <xdr:colOff>598107</xdr:colOff>
      <xdr:row>8</xdr:row>
      <xdr:rowOff>141818</xdr:rowOff>
    </xdr:from>
    <xdr:to>
      <xdr:col>15</xdr:col>
      <xdr:colOff>46567</xdr:colOff>
      <xdr:row>10</xdr:row>
      <xdr:rowOff>124885</xdr:rowOff>
    </xdr:to>
    <xdr:sp macro="" textlink="">
      <xdr:nvSpPr>
        <xdr:cNvPr id="20" name="Rectangle: Rounded Corners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C22EFB-1886-43E0-B160-FC63070EF138}"/>
            </a:ext>
          </a:extLst>
        </xdr:cNvPr>
        <xdr:cNvSpPr/>
      </xdr:nvSpPr>
      <xdr:spPr>
        <a:xfrm>
          <a:off x="7350274" y="1581151"/>
          <a:ext cx="1903793" cy="342901"/>
        </a:xfrm>
        <a:prstGeom prst="roundRect">
          <a:avLst/>
        </a:prstGeom>
        <a:solidFill>
          <a:schemeClr val="accent5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Final Energy</a:t>
          </a:r>
        </a:p>
      </xdr:txBody>
    </xdr:sp>
    <xdr:clientData/>
  </xdr:twoCellAnchor>
  <xdr:twoCellAnchor>
    <xdr:from>
      <xdr:col>11</xdr:col>
      <xdr:colOff>126999</xdr:colOff>
      <xdr:row>16</xdr:row>
      <xdr:rowOff>95251</xdr:rowOff>
    </xdr:from>
    <xdr:to>
      <xdr:col>15</xdr:col>
      <xdr:colOff>465667</xdr:colOff>
      <xdr:row>18</xdr:row>
      <xdr:rowOff>99486</xdr:rowOff>
    </xdr:to>
    <xdr:sp macro="" textlink="">
      <xdr:nvSpPr>
        <xdr:cNvPr id="21" name="Rectangle: Rounded Corners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7B8533-8BF6-430D-AF0C-16BA47CFA792}"/>
            </a:ext>
          </a:extLst>
        </xdr:cNvPr>
        <xdr:cNvSpPr/>
      </xdr:nvSpPr>
      <xdr:spPr>
        <a:xfrm>
          <a:off x="6879166" y="2973918"/>
          <a:ext cx="2794001" cy="364068"/>
        </a:xfrm>
        <a:prstGeom prst="roundRect">
          <a:avLst/>
        </a:prstGeom>
        <a:solidFill>
          <a:schemeClr val="accent5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Conversion Technologies</a:t>
          </a:r>
        </a:p>
      </xdr:txBody>
    </xdr:sp>
    <xdr:clientData/>
  </xdr:twoCellAnchor>
  <xdr:twoCellAnchor>
    <xdr:from>
      <xdr:col>6</xdr:col>
      <xdr:colOff>382207</xdr:colOff>
      <xdr:row>9</xdr:row>
      <xdr:rowOff>0</xdr:rowOff>
    </xdr:from>
    <xdr:to>
      <xdr:col>9</xdr:col>
      <xdr:colOff>423333</xdr:colOff>
      <xdr:row>10</xdr:row>
      <xdr:rowOff>131233</xdr:rowOff>
    </xdr:to>
    <xdr:sp macro="" textlink="">
      <xdr:nvSpPr>
        <xdr:cNvPr id="23" name="Rectangle: Rounded Corners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5B129EA-E689-4EC3-BDA0-8A3CD52A0B82}"/>
            </a:ext>
          </a:extLst>
        </xdr:cNvPr>
        <xdr:cNvSpPr/>
      </xdr:nvSpPr>
      <xdr:spPr>
        <a:xfrm>
          <a:off x="4065207" y="1619250"/>
          <a:ext cx="1882626" cy="31115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Energy Services</a:t>
          </a:r>
        </a:p>
      </xdr:txBody>
    </xdr:sp>
    <xdr:clientData/>
  </xdr:twoCellAnchor>
  <xdr:twoCellAnchor>
    <xdr:from>
      <xdr:col>10</xdr:col>
      <xdr:colOff>313267</xdr:colOff>
      <xdr:row>19</xdr:row>
      <xdr:rowOff>80432</xdr:rowOff>
    </xdr:from>
    <xdr:to>
      <xdr:col>15</xdr:col>
      <xdr:colOff>76199</xdr:colOff>
      <xdr:row>23</xdr:row>
      <xdr:rowOff>21168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F79FADA6-7369-4889-B650-955C4D69641A}"/>
            </a:ext>
          </a:extLst>
        </xdr:cNvPr>
        <xdr:cNvSpPr txBox="1"/>
      </xdr:nvSpPr>
      <xdr:spPr>
        <a:xfrm>
          <a:off x="6451600" y="3498849"/>
          <a:ext cx="2832099" cy="6604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pt-PT" sz="1200"/>
        </a:p>
      </xdr:txBody>
    </xdr:sp>
    <xdr:clientData/>
  </xdr:twoCellAnchor>
  <xdr:twoCellAnchor>
    <xdr:from>
      <xdr:col>18</xdr:col>
      <xdr:colOff>416982</xdr:colOff>
      <xdr:row>9</xdr:row>
      <xdr:rowOff>10583</xdr:rowOff>
    </xdr:from>
    <xdr:to>
      <xdr:col>22</xdr:col>
      <xdr:colOff>158750</xdr:colOff>
      <xdr:row>11</xdr:row>
      <xdr:rowOff>21167</xdr:rowOff>
    </xdr:to>
    <xdr:sp macro="" textlink="">
      <xdr:nvSpPr>
        <xdr:cNvPr id="28" name="Rectangle: Rounded Corners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8A17D24-EFA1-4022-82F3-008477FD537D}"/>
            </a:ext>
          </a:extLst>
        </xdr:cNvPr>
        <xdr:cNvSpPr/>
      </xdr:nvSpPr>
      <xdr:spPr>
        <a:xfrm>
          <a:off x="11465982" y="1629833"/>
          <a:ext cx="2197101" cy="370417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Base Management</a:t>
          </a:r>
        </a:p>
      </xdr:txBody>
    </xdr:sp>
    <xdr:clientData/>
  </xdr:twoCellAnchor>
  <xdr:twoCellAnchor>
    <xdr:from>
      <xdr:col>18</xdr:col>
      <xdr:colOff>262466</xdr:colOff>
      <xdr:row>12</xdr:row>
      <xdr:rowOff>137582</xdr:rowOff>
    </xdr:from>
    <xdr:to>
      <xdr:col>22</xdr:col>
      <xdr:colOff>328085</xdr:colOff>
      <xdr:row>14</xdr:row>
      <xdr:rowOff>169333</xdr:rowOff>
    </xdr:to>
    <xdr:sp macro="" textlink="">
      <xdr:nvSpPr>
        <xdr:cNvPr id="29" name="Rectangle: Rounded Corners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37F264A-A48B-45D2-9B9A-F507FB594794}"/>
            </a:ext>
          </a:extLst>
        </xdr:cNvPr>
        <xdr:cNvSpPr/>
      </xdr:nvSpPr>
      <xdr:spPr>
        <a:xfrm>
          <a:off x="11311466" y="2296582"/>
          <a:ext cx="2520952" cy="391584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 baseline="0">
              <a:solidFill>
                <a:schemeClr val="bg1"/>
              </a:solidFill>
            </a:rPr>
            <a:t>Services Management</a:t>
          </a:r>
          <a:endParaRPr lang="pt-PT" sz="20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33866</xdr:colOff>
      <xdr:row>16</xdr:row>
      <xdr:rowOff>105834</xdr:rowOff>
    </xdr:from>
    <xdr:to>
      <xdr:col>23</xdr:col>
      <xdr:colOff>0</xdr:colOff>
      <xdr:row>18</xdr:row>
      <xdr:rowOff>137583</xdr:rowOff>
    </xdr:to>
    <xdr:sp macro="" textlink="">
      <xdr:nvSpPr>
        <xdr:cNvPr id="30" name="Rectangle: Rounded Corners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6D4D474-C80C-438F-9AA1-9ABF22F00E67}"/>
            </a:ext>
          </a:extLst>
        </xdr:cNvPr>
        <xdr:cNvSpPr/>
      </xdr:nvSpPr>
      <xdr:spPr>
        <a:xfrm>
          <a:off x="11082866" y="2984501"/>
          <a:ext cx="3035301" cy="391582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 baseline="0">
              <a:solidFill>
                <a:schemeClr val="bg1"/>
              </a:solidFill>
            </a:rPr>
            <a:t>Services + PV Management</a:t>
          </a:r>
          <a:endParaRPr lang="pt-PT" sz="20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397930</xdr:colOff>
      <xdr:row>20</xdr:row>
      <xdr:rowOff>126998</xdr:rowOff>
    </xdr:from>
    <xdr:to>
      <xdr:col>23</xdr:col>
      <xdr:colOff>359833</xdr:colOff>
      <xdr:row>22</xdr:row>
      <xdr:rowOff>148165</xdr:rowOff>
    </xdr:to>
    <xdr:sp macro="" textlink="">
      <xdr:nvSpPr>
        <xdr:cNvPr id="31" name="Rectangle: Rounded Corners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CB2D5BE-B009-46C2-9C88-38FE0DCF77F0}"/>
            </a:ext>
          </a:extLst>
        </xdr:cNvPr>
        <xdr:cNvSpPr/>
      </xdr:nvSpPr>
      <xdr:spPr>
        <a:xfrm>
          <a:off x="10833097" y="3725331"/>
          <a:ext cx="3644903" cy="381001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 baseline="0">
              <a:solidFill>
                <a:schemeClr val="bg1"/>
              </a:solidFill>
            </a:rPr>
            <a:t>Services + PV + Bat Management</a:t>
          </a:r>
          <a:endParaRPr lang="pt-PT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111275</xdr:colOff>
      <xdr:row>20</xdr:row>
      <xdr:rowOff>21167</xdr:rowOff>
    </xdr:from>
    <xdr:to>
      <xdr:col>9</xdr:col>
      <xdr:colOff>52917</xdr:colOff>
      <xdr:row>21</xdr:row>
      <xdr:rowOff>124883</xdr:rowOff>
    </xdr:to>
    <xdr:sp macro="" textlink="">
      <xdr:nvSpPr>
        <xdr:cNvPr id="33" name="Rectangle: Rounded Corner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33DB74F-7F04-495E-84A3-B7C88CEE5619}"/>
            </a:ext>
          </a:extLst>
        </xdr:cNvPr>
        <xdr:cNvSpPr/>
      </xdr:nvSpPr>
      <xdr:spPr>
        <a:xfrm>
          <a:off x="4408108" y="3619500"/>
          <a:ext cx="1169309" cy="28363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Tariffs</a:t>
          </a:r>
        </a:p>
      </xdr:txBody>
    </xdr:sp>
    <xdr:clientData/>
  </xdr:twoCellAnchor>
  <xdr:twoCellAnchor>
    <xdr:from>
      <xdr:col>1</xdr:col>
      <xdr:colOff>576942</xdr:colOff>
      <xdr:row>26</xdr:row>
      <xdr:rowOff>73480</xdr:rowOff>
    </xdr:from>
    <xdr:to>
      <xdr:col>4</xdr:col>
      <xdr:colOff>114301</xdr:colOff>
      <xdr:row>28</xdr:row>
      <xdr:rowOff>19049</xdr:rowOff>
    </xdr:to>
    <xdr:sp macro="" textlink="">
      <xdr:nvSpPr>
        <xdr:cNvPr id="35" name="Rectangle: Rounded Corners 3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C3A1306-6266-451D-B248-ED2DCDE166BA}"/>
            </a:ext>
          </a:extLst>
        </xdr:cNvPr>
        <xdr:cNvSpPr/>
      </xdr:nvSpPr>
      <xdr:spPr>
        <a:xfrm>
          <a:off x="1190775" y="4751313"/>
          <a:ext cx="1378859" cy="305403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Graphs</a:t>
          </a:r>
        </a:p>
      </xdr:txBody>
    </xdr:sp>
    <xdr:clientData/>
  </xdr:twoCellAnchor>
  <xdr:twoCellAnchor>
    <xdr:from>
      <xdr:col>26</xdr:col>
      <xdr:colOff>431798</xdr:colOff>
      <xdr:row>10</xdr:row>
      <xdr:rowOff>116417</xdr:rowOff>
    </xdr:from>
    <xdr:to>
      <xdr:col>30</xdr:col>
      <xdr:colOff>497417</xdr:colOff>
      <xdr:row>12</xdr:row>
      <xdr:rowOff>162985</xdr:rowOff>
    </xdr:to>
    <xdr:sp macro="" textlink="">
      <xdr:nvSpPr>
        <xdr:cNvPr id="37" name="Rectangle: Rounded Corners 3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B96AFD5-AB4B-4766-A049-5E10B474327A}"/>
            </a:ext>
          </a:extLst>
        </xdr:cNvPr>
        <xdr:cNvSpPr/>
      </xdr:nvSpPr>
      <xdr:spPr>
        <a:xfrm>
          <a:off x="16391465" y="1915584"/>
          <a:ext cx="2520952" cy="4064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Max NPV Community</a:t>
          </a:r>
        </a:p>
      </xdr:txBody>
    </xdr:sp>
    <xdr:clientData/>
  </xdr:twoCellAnchor>
  <xdr:twoCellAnchor>
    <xdr:from>
      <xdr:col>26</xdr:col>
      <xdr:colOff>436030</xdr:colOff>
      <xdr:row>16</xdr:row>
      <xdr:rowOff>78317</xdr:rowOff>
    </xdr:from>
    <xdr:to>
      <xdr:col>30</xdr:col>
      <xdr:colOff>501649</xdr:colOff>
      <xdr:row>18</xdr:row>
      <xdr:rowOff>124885</xdr:rowOff>
    </xdr:to>
    <xdr:sp macro="" textlink="">
      <xdr:nvSpPr>
        <xdr:cNvPr id="38" name="Rectangle: Rounded Corners 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5152706-5218-4DEC-9168-0ACDB763331F}"/>
            </a:ext>
          </a:extLst>
        </xdr:cNvPr>
        <xdr:cNvSpPr/>
      </xdr:nvSpPr>
      <xdr:spPr>
        <a:xfrm>
          <a:off x="16395697" y="2956984"/>
          <a:ext cx="2520952" cy="4064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Min Cost</a:t>
          </a:r>
          <a:r>
            <a:rPr lang="pt-PT" sz="2000" baseline="0">
              <a:solidFill>
                <a:schemeClr val="bg1"/>
              </a:solidFill>
            </a:rPr>
            <a:t> </a:t>
          </a:r>
          <a:r>
            <a:rPr lang="pt-PT" sz="2000">
              <a:solidFill>
                <a:schemeClr val="bg1"/>
              </a:solidFill>
            </a:rPr>
            <a:t>Community</a:t>
          </a:r>
        </a:p>
      </xdr:txBody>
    </xdr:sp>
    <xdr:clientData/>
  </xdr:twoCellAnchor>
  <xdr:twoCellAnchor>
    <xdr:from>
      <xdr:col>26</xdr:col>
      <xdr:colOff>433916</xdr:colOff>
      <xdr:row>22</xdr:row>
      <xdr:rowOff>21166</xdr:rowOff>
    </xdr:from>
    <xdr:to>
      <xdr:col>30</xdr:col>
      <xdr:colOff>499535</xdr:colOff>
      <xdr:row>24</xdr:row>
      <xdr:rowOff>67734</xdr:rowOff>
    </xdr:to>
    <xdr:sp macro="" textlink="">
      <xdr:nvSpPr>
        <xdr:cNvPr id="39" name="Rectangle: Rounded Corners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D11FFEE-7149-41A4-82C1-966882C1B5E6}"/>
            </a:ext>
          </a:extLst>
        </xdr:cNvPr>
        <xdr:cNvSpPr/>
      </xdr:nvSpPr>
      <xdr:spPr>
        <a:xfrm>
          <a:off x="16393583" y="3979333"/>
          <a:ext cx="2520952" cy="4064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008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000">
              <a:solidFill>
                <a:schemeClr val="bg1"/>
              </a:solidFill>
            </a:rPr>
            <a:t>Flexible Load</a:t>
          </a:r>
        </a:p>
      </xdr:txBody>
    </xdr:sp>
    <xdr:clientData/>
  </xdr:twoCellAnchor>
  <xdr:twoCellAnchor>
    <xdr:from>
      <xdr:col>27</xdr:col>
      <xdr:colOff>469901</xdr:colOff>
      <xdr:row>26</xdr:row>
      <xdr:rowOff>31750</xdr:rowOff>
    </xdr:from>
    <xdr:to>
      <xdr:col>29</xdr:col>
      <xdr:colOff>582083</xdr:colOff>
      <xdr:row>28</xdr:row>
      <xdr:rowOff>4233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5984EDFE-2FA3-433B-B9B7-6461727FD678}"/>
            </a:ext>
          </a:extLst>
        </xdr:cNvPr>
        <xdr:cNvSpPr txBox="1"/>
      </xdr:nvSpPr>
      <xdr:spPr>
        <a:xfrm>
          <a:off x="17043401" y="4709583"/>
          <a:ext cx="1339849" cy="332317"/>
        </a:xfrm>
        <a:prstGeom prst="flowChartAlternateProcess">
          <a:avLst/>
        </a:prstGeom>
        <a:ln/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4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Optimization</a:t>
          </a:r>
          <a:endParaRPr lang="pt-PT" sz="1400" b="1"/>
        </a:p>
      </xdr:txBody>
    </xdr:sp>
    <xdr:clientData/>
  </xdr:twoCellAnchor>
  <xdr:twoCellAnchor>
    <xdr:from>
      <xdr:col>18</xdr:col>
      <xdr:colOff>71969</xdr:colOff>
      <xdr:row>25</xdr:row>
      <xdr:rowOff>131232</xdr:rowOff>
    </xdr:from>
    <xdr:to>
      <xdr:col>23</xdr:col>
      <xdr:colOff>127000</xdr:colOff>
      <xdr:row>30</xdr:row>
      <xdr:rowOff>63499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2CB5A549-5836-4934-90B2-BFE440EB87C5}"/>
            </a:ext>
          </a:extLst>
        </xdr:cNvPr>
        <xdr:cNvSpPr txBox="1"/>
      </xdr:nvSpPr>
      <xdr:spPr>
        <a:xfrm>
          <a:off x="11120969" y="4629149"/>
          <a:ext cx="3124198" cy="831850"/>
        </a:xfrm>
        <a:prstGeom prst="flowChartAlternateProcess">
          <a:avLst/>
        </a:prstGeom>
        <a:solidFill>
          <a:schemeClr val="accent2">
            <a:lumMod val="60000"/>
            <a:lumOff val="40000"/>
          </a:schemeClr>
        </a:solidFill>
        <a:ln/>
        <a:effectLst>
          <a:glow rad="63500">
            <a:schemeClr val="accent2">
              <a:lumMod val="75000"/>
              <a:alpha val="40000"/>
            </a:schemeClr>
          </a:glo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4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the different energy systems algorithms are implemented, including costs and CO2 emissions</a:t>
          </a:r>
          <a:endParaRPr lang="pt-PT" sz="1400">
            <a:effectLst/>
          </a:endParaRPr>
        </a:p>
      </xdr:txBody>
    </xdr:sp>
    <xdr:clientData/>
  </xdr:twoCellAnchor>
  <xdr:twoCellAnchor>
    <xdr:from>
      <xdr:col>11</xdr:col>
      <xdr:colOff>421216</xdr:colOff>
      <xdr:row>11</xdr:row>
      <xdr:rowOff>78317</xdr:rowOff>
    </xdr:from>
    <xdr:to>
      <xdr:col>15</xdr:col>
      <xdr:colOff>201083</xdr:colOff>
      <xdr:row>14</xdr:row>
      <xdr:rowOff>158751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392FFEC9-3348-4CF1-B0F4-2BE9EB997F2E}"/>
            </a:ext>
          </a:extLst>
        </xdr:cNvPr>
        <xdr:cNvSpPr txBox="1"/>
      </xdr:nvSpPr>
      <xdr:spPr>
        <a:xfrm>
          <a:off x="7173383" y="2057400"/>
          <a:ext cx="2235200" cy="620184"/>
        </a:xfrm>
        <a:prstGeom prst="flowChartAlternateProcess">
          <a:avLst/>
        </a:prstGeom>
        <a:solidFill>
          <a:schemeClr val="accent5">
            <a:lumMod val="60000"/>
            <a:lumOff val="40000"/>
          </a:schemeClr>
        </a:solidFill>
        <a:ln/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4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the final energy (electricity)  is calculated</a:t>
          </a:r>
          <a:endParaRPr lang="pt-PT" sz="1400" b="1">
            <a:effectLst/>
          </a:endParaRPr>
        </a:p>
        <a:p>
          <a:pPr algn="ctr"/>
          <a:endParaRPr lang="pt-PT" sz="1400" b="1"/>
        </a:p>
      </xdr:txBody>
    </xdr:sp>
    <xdr:clientData/>
  </xdr:twoCellAnchor>
  <xdr:twoCellAnchor>
    <xdr:from>
      <xdr:col>10</xdr:col>
      <xdr:colOff>541869</xdr:colOff>
      <xdr:row>19</xdr:row>
      <xdr:rowOff>40215</xdr:rowOff>
    </xdr:from>
    <xdr:to>
      <xdr:col>16</xdr:col>
      <xdr:colOff>42334</xdr:colOff>
      <xdr:row>23</xdr:row>
      <xdr:rowOff>169333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C6E1FCEF-455E-4F6F-BD92-A5B319E7D158}"/>
            </a:ext>
          </a:extLst>
        </xdr:cNvPr>
        <xdr:cNvSpPr txBox="1"/>
      </xdr:nvSpPr>
      <xdr:spPr>
        <a:xfrm>
          <a:off x="6680202" y="3458632"/>
          <a:ext cx="3183465" cy="848784"/>
        </a:xfrm>
        <a:prstGeom prst="flowChartAlternateProcess">
          <a:avLst/>
        </a:prstGeom>
        <a:solidFill>
          <a:schemeClr val="accent5">
            <a:lumMod val="60000"/>
            <a:lumOff val="40000"/>
          </a:schemeClr>
        </a:solidFill>
        <a:ln/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4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the conversion technologies parameters  (efficiency nominal power) are indicated</a:t>
          </a:r>
          <a:endParaRPr lang="pt-PT" sz="1400" b="1">
            <a:effectLst/>
          </a:endParaRPr>
        </a:p>
        <a:p>
          <a:pPr algn="ctr"/>
          <a:endParaRPr lang="pt-PT" sz="1400" b="1"/>
        </a:p>
      </xdr:txBody>
    </xdr:sp>
    <xdr:clientData/>
  </xdr:twoCellAnchor>
  <xdr:twoCellAnchor>
    <xdr:from>
      <xdr:col>11</xdr:col>
      <xdr:colOff>573617</xdr:colOff>
      <xdr:row>28</xdr:row>
      <xdr:rowOff>19049</xdr:rowOff>
    </xdr:from>
    <xdr:to>
      <xdr:col>15</xdr:col>
      <xdr:colOff>173567</xdr:colOff>
      <xdr:row>31</xdr:row>
      <xdr:rowOff>84666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29FABAD-A5B3-4E15-9EBA-A36ACC6847DC}"/>
            </a:ext>
          </a:extLst>
        </xdr:cNvPr>
        <xdr:cNvSpPr txBox="1"/>
      </xdr:nvSpPr>
      <xdr:spPr>
        <a:xfrm>
          <a:off x="7325784" y="5056716"/>
          <a:ext cx="2055283" cy="605367"/>
        </a:xfrm>
        <a:prstGeom prst="flowChartAlternateProcess">
          <a:avLst/>
        </a:prstGeom>
        <a:solidFill>
          <a:schemeClr val="accent5">
            <a:lumMod val="60000"/>
            <a:lumOff val="40000"/>
          </a:schemeClr>
        </a:solidFill>
        <a:ln/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4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the primary energy is calculated</a:t>
          </a:r>
          <a:endParaRPr lang="pt-PT" sz="1400" b="1">
            <a:effectLst/>
          </a:endParaRPr>
        </a:p>
        <a:p>
          <a:pPr algn="ctr"/>
          <a:endParaRPr lang="pt-PT" sz="1400" b="1"/>
        </a:p>
      </xdr:txBody>
    </xdr:sp>
    <xdr:clientData/>
  </xdr:twoCellAnchor>
  <xdr:twoCellAnchor>
    <xdr:from>
      <xdr:col>6</xdr:col>
      <xdr:colOff>383117</xdr:colOff>
      <xdr:row>22</xdr:row>
      <xdr:rowOff>61381</xdr:rowOff>
    </xdr:from>
    <xdr:to>
      <xdr:col>9</xdr:col>
      <xdr:colOff>391584</xdr:colOff>
      <xdr:row>26</xdr:row>
      <xdr:rowOff>179916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2B8128AB-FED0-4A2B-B56B-AE670C9F7CB5}"/>
            </a:ext>
          </a:extLst>
        </xdr:cNvPr>
        <xdr:cNvSpPr txBox="1"/>
      </xdr:nvSpPr>
      <xdr:spPr>
        <a:xfrm>
          <a:off x="4066117" y="4019548"/>
          <a:ext cx="1849967" cy="838201"/>
        </a:xfrm>
        <a:prstGeom prst="flowChartAlternateProcess">
          <a:avLst/>
        </a:prstGeom>
        <a:solidFill>
          <a:schemeClr val="tx2">
            <a:lumMod val="20000"/>
            <a:lumOff val="80000"/>
          </a:schemeClr>
        </a:solidFill>
        <a:ln/>
        <a:effectLst>
          <a:glow rad="63500">
            <a:schemeClr val="tx2">
              <a:lumMod val="60000"/>
              <a:lumOff val="40000"/>
              <a:alpha val="40000"/>
            </a:schemeClr>
          </a:glo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4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users can find information regarding the tariffs</a:t>
          </a:r>
          <a:endParaRPr lang="pt-PT" sz="1400" b="1">
            <a:effectLst/>
          </a:endParaRPr>
        </a:p>
        <a:p>
          <a:pPr algn="ctr"/>
          <a:endParaRPr lang="pt-PT" sz="1400" b="1"/>
        </a:p>
      </xdr:txBody>
    </xdr:sp>
    <xdr:clientData/>
  </xdr:twoCellAnchor>
  <xdr:twoCellAnchor>
    <xdr:from>
      <xdr:col>6</xdr:col>
      <xdr:colOff>249766</xdr:colOff>
      <xdr:row>11</xdr:row>
      <xdr:rowOff>65614</xdr:rowOff>
    </xdr:from>
    <xdr:to>
      <xdr:col>10</xdr:col>
      <xdr:colOff>0</xdr:colOff>
      <xdr:row>18</xdr:row>
      <xdr:rowOff>137583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4E7FA3FF-E9E4-414B-9587-2919720FD7E2}"/>
            </a:ext>
          </a:extLst>
        </xdr:cNvPr>
        <xdr:cNvSpPr txBox="1"/>
      </xdr:nvSpPr>
      <xdr:spPr>
        <a:xfrm>
          <a:off x="3932766" y="2044697"/>
          <a:ext cx="2205567" cy="1331386"/>
        </a:xfrm>
        <a:prstGeom prst="flowChartAlternateProcess">
          <a:avLst/>
        </a:prstGeom>
        <a:solidFill>
          <a:schemeClr val="tx2">
            <a:lumMod val="20000"/>
            <a:lumOff val="80000"/>
          </a:schemeClr>
        </a:solidFill>
        <a:ln/>
        <a:effectLst>
          <a:glow rad="63500">
            <a:schemeClr val="tx2">
              <a:lumMod val="60000"/>
              <a:lumOff val="40000"/>
              <a:alpha val="40000"/>
            </a:schemeClr>
          </a:glo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4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the energy services are calculated if used (ev charging, space heating and cooling and water heating)</a:t>
          </a:r>
          <a:endParaRPr lang="pt-PT" sz="1400" b="1">
            <a:effectLst/>
          </a:endParaRPr>
        </a:p>
        <a:p>
          <a:pPr algn="ctr"/>
          <a:endParaRPr lang="pt-PT" sz="1400" b="1"/>
        </a:p>
      </xdr:txBody>
    </xdr:sp>
    <xdr:clientData/>
  </xdr:twoCellAnchor>
  <xdr:twoCellAnchor>
    <xdr:from>
      <xdr:col>1</xdr:col>
      <xdr:colOff>228602</xdr:colOff>
      <xdr:row>11</xdr:row>
      <xdr:rowOff>2116</xdr:rowOff>
    </xdr:from>
    <xdr:to>
      <xdr:col>4</xdr:col>
      <xdr:colOff>442385</xdr:colOff>
      <xdr:row>14</xdr:row>
      <xdr:rowOff>67733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91B75665-F84D-47A3-AECF-3F34451FD545}"/>
            </a:ext>
          </a:extLst>
        </xdr:cNvPr>
        <xdr:cNvSpPr txBox="1"/>
      </xdr:nvSpPr>
      <xdr:spPr>
        <a:xfrm>
          <a:off x="842435" y="1981199"/>
          <a:ext cx="2055283" cy="605367"/>
        </a:xfrm>
        <a:prstGeom prst="flowChartAlternateProcess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4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users can find all the input data</a:t>
          </a:r>
          <a:endParaRPr lang="pt-PT" sz="1400" b="1">
            <a:effectLst/>
          </a:endParaRPr>
        </a:p>
        <a:p>
          <a:pPr algn="ctr"/>
          <a:endParaRPr lang="pt-PT" sz="1400" b="1"/>
        </a:p>
      </xdr:txBody>
    </xdr:sp>
    <xdr:clientData/>
  </xdr:twoCellAnchor>
  <xdr:twoCellAnchor>
    <xdr:from>
      <xdr:col>0</xdr:col>
      <xdr:colOff>381001</xdr:colOff>
      <xdr:row>17</xdr:row>
      <xdr:rowOff>154514</xdr:rowOff>
    </xdr:from>
    <xdr:to>
      <xdr:col>5</xdr:col>
      <xdr:colOff>359834</xdr:colOff>
      <xdr:row>25</xdr:row>
      <xdr:rowOff>21166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9FE45AB9-EE03-4EF5-A9F4-61867760542B}"/>
            </a:ext>
          </a:extLst>
        </xdr:cNvPr>
        <xdr:cNvSpPr txBox="1"/>
      </xdr:nvSpPr>
      <xdr:spPr>
        <a:xfrm>
          <a:off x="381001" y="3213097"/>
          <a:ext cx="3048000" cy="1305986"/>
        </a:xfrm>
        <a:prstGeom prst="flowChartAlternateProcess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4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the users can find all the results, in particular the performance indicators for each scenario of energy management systems</a:t>
          </a:r>
          <a:endParaRPr lang="pt-PT" sz="1400" b="1">
            <a:effectLst/>
          </a:endParaRPr>
        </a:p>
        <a:p>
          <a:pPr algn="ctr"/>
          <a:endParaRPr lang="pt-PT" sz="1400" b="1"/>
        </a:p>
      </xdr:txBody>
    </xdr:sp>
    <xdr:clientData/>
  </xdr:twoCellAnchor>
  <xdr:twoCellAnchor>
    <xdr:from>
      <xdr:col>1</xdr:col>
      <xdr:colOff>232834</xdr:colOff>
      <xdr:row>28</xdr:row>
      <xdr:rowOff>154514</xdr:rowOff>
    </xdr:from>
    <xdr:to>
      <xdr:col>4</xdr:col>
      <xdr:colOff>446617</xdr:colOff>
      <xdr:row>32</xdr:row>
      <xdr:rowOff>21165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54817923-62D2-4A0C-87B2-54E71870F843}"/>
            </a:ext>
          </a:extLst>
        </xdr:cNvPr>
        <xdr:cNvSpPr txBox="1"/>
      </xdr:nvSpPr>
      <xdr:spPr>
        <a:xfrm>
          <a:off x="846667" y="5192181"/>
          <a:ext cx="2055283" cy="586317"/>
        </a:xfrm>
        <a:prstGeom prst="flowChartAlternateProcess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4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additional</a:t>
          </a:r>
          <a:r>
            <a:rPr lang="pt-PT" sz="14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feature to help explore results</a:t>
          </a:r>
          <a:endParaRPr lang="pt-PT" sz="1400" b="1">
            <a:effectLst/>
          </a:endParaRPr>
        </a:p>
        <a:p>
          <a:pPr algn="ctr"/>
          <a:endParaRPr lang="pt-PT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9071</xdr:colOff>
      <xdr:row>3</xdr:row>
      <xdr:rowOff>9072</xdr:rowOff>
    </xdr:from>
    <xdr:to>
      <xdr:col>9</xdr:col>
      <xdr:colOff>0</xdr:colOff>
      <xdr:row>19</xdr:row>
      <xdr:rowOff>172357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4F6FE3-BA1B-4B27-AD96-123801E4CB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9072</xdr:colOff>
      <xdr:row>2</xdr:row>
      <xdr:rowOff>172357</xdr:rowOff>
    </xdr:from>
    <xdr:to>
      <xdr:col>18</xdr:col>
      <xdr:colOff>9072</xdr:colOff>
      <xdr:row>20</xdr:row>
      <xdr:rowOff>9072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CF36E1-2FA4-481C-82E0-9BE58928B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2</xdr:row>
      <xdr:rowOff>172358</xdr:rowOff>
    </xdr:from>
    <xdr:to>
      <xdr:col>27</xdr:col>
      <xdr:colOff>9073</xdr:colOff>
      <xdr:row>19</xdr:row>
      <xdr:rowOff>172357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4FC406-DFF1-4CBF-901C-E3EE6B01DB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12700</xdr:colOff>
      <xdr:row>26</xdr:row>
      <xdr:rowOff>0</xdr:rowOff>
    </xdr:from>
    <xdr:to>
      <xdr:col>12</xdr:col>
      <xdr:colOff>12699</xdr:colOff>
      <xdr:row>48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BD0454E-E669-44A0-B5EF-25CCDA6C9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600075</xdr:colOff>
      <xdr:row>49</xdr:row>
      <xdr:rowOff>0</xdr:rowOff>
    </xdr:from>
    <xdr:to>
      <xdr:col>11</xdr:col>
      <xdr:colOff>581025</xdr:colOff>
      <xdr:row>70</xdr:row>
      <xdr:rowOff>177799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BD6CF6C-7612-48CF-9F7E-90F8AA776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15875</xdr:colOff>
      <xdr:row>26</xdr:row>
      <xdr:rowOff>12700</xdr:rowOff>
    </xdr:from>
    <xdr:to>
      <xdr:col>26</xdr:col>
      <xdr:colOff>596900</xdr:colOff>
      <xdr:row>48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1BE229-19A5-41C8-AE53-A001BB3D5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49</xdr:row>
      <xdr:rowOff>15875</xdr:rowOff>
    </xdr:from>
    <xdr:to>
      <xdr:col>27</xdr:col>
      <xdr:colOff>0</xdr:colOff>
      <xdr:row>71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C8B4597-6FB7-4F99-97C9-2D001488E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72</xdr:row>
      <xdr:rowOff>0</xdr:rowOff>
    </xdr:from>
    <xdr:to>
      <xdr:col>27</xdr:col>
      <xdr:colOff>12700</xdr:colOff>
      <xdr:row>93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D2136CE-E67A-4791-9ED4-21F3FC3CCB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12700</xdr:colOff>
      <xdr:row>3</xdr:row>
      <xdr:rowOff>12700</xdr:rowOff>
    </xdr:from>
    <xdr:to>
      <xdr:col>41</xdr:col>
      <xdr:colOff>12700</xdr:colOff>
      <xdr:row>20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B6CDDDE-AE99-463B-987E-1DE402F2D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15874</xdr:colOff>
      <xdr:row>26</xdr:row>
      <xdr:rowOff>9525</xdr:rowOff>
    </xdr:from>
    <xdr:to>
      <xdr:col>41</xdr:col>
      <xdr:colOff>-1</xdr:colOff>
      <xdr:row>43</xdr:row>
      <xdr:rowOff>-1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A69F369-FB6C-43FF-B854-73DE5B26C8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49</xdr:row>
      <xdr:rowOff>12700</xdr:rowOff>
    </xdr:from>
    <xdr:to>
      <xdr:col>46</xdr:col>
      <xdr:colOff>12700</xdr:colOff>
      <xdr:row>66</xdr:row>
      <xdr:rowOff>12700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52256F7-E5EC-4BB6-B9B7-A7F1FC83E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41</xdr:col>
      <xdr:colOff>605368</xdr:colOff>
      <xdr:row>26</xdr:row>
      <xdr:rowOff>4235</xdr:rowOff>
    </xdr:from>
    <xdr:to>
      <xdr:col>46</xdr:col>
      <xdr:colOff>0</xdr:colOff>
      <xdr:row>42</xdr:row>
      <xdr:rowOff>169334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6E97D4AB-FC9B-44CD-988C-80D586BF0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28</xdr:col>
      <xdr:colOff>0</xdr:colOff>
      <xdr:row>49</xdr:row>
      <xdr:rowOff>12700</xdr:rowOff>
    </xdr:from>
    <xdr:to>
      <xdr:col>40</xdr:col>
      <xdr:colOff>596900</xdr:colOff>
      <xdr:row>66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9E9F8A8-BF96-865A-A9B6-8266A74028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7" xr16:uid="{E623549A-6A83-46EE-94B4-8F51A7D2CA14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D2CB6BD8-1B6A-4950-AADA-F8EC31C9ECE6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4" xr16:uid="{1C986A4A-2B59-452B-9DE9-FEEB17677979}" autoFormatId="16" applyNumberFormats="0" applyBorderFormats="0" applyFontFormats="0" applyPatternFormats="0" applyAlignmentFormats="0" applyWidthHeightFormats="0">
  <queryTableRefresh nextId="5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3" xr16:uid="{4862268B-F737-431D-ACBA-E141275031D4}" autoFormatId="16" applyNumberFormats="0" applyBorderFormats="0" applyFontFormats="0" applyPatternFormats="0" applyAlignmentFormats="0" applyWidthHeightFormats="0">
  <queryTableRefresh nextId="8">
    <queryTableFields count="6">
      <queryTableField id="1" name="Hour" tableColumnId="1"/>
      <queryTableField id="2" name="Temperature (ºC)" tableColumnId="2"/>
      <queryTableField id="3" name="Wind 10m (m/s)" tableColumnId="3"/>
      <queryTableField id="4" name="Irradiance 0º (W/m2)" tableColumnId="4"/>
      <queryTableField id="5" name="Irradiance 90º W(W/m2)" tableColumnId="5"/>
      <queryTableField id="6" name="PV Power (W)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87" xr16:uid="{B1DB60E6-48F3-48B3-81CC-03DF234432F1}" autoFormatId="16" applyNumberFormats="0" applyBorderFormats="0" applyFontFormats="0" applyPatternFormats="0" applyAlignmentFormats="0" applyWidthHeightFormats="0">
  <queryTableRefresh nextId="5">
    <queryTableFields count="4">
      <queryTableField id="1" name="Hour" tableColumnId="1"/>
      <queryTableField id="2" name="Occupation Building1" tableColumnId="2"/>
      <queryTableField id="3" name="Occupation Building2" tableColumnId="3"/>
      <queryTableField id="4" name="Occupation Building3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" xr16:uid="{0B0336AA-7F45-4D2F-A09A-0A64B638B0D8}" autoFormatId="16" applyNumberFormats="0" applyBorderFormats="0" applyFontFormats="0" applyPatternFormats="0" applyAlignmentFormats="0" applyWidthHeightFormats="0">
  <queryTableRefresh nextId="7">
    <queryTableFields count="6">
      <queryTableField id="1" name="Hour" tableColumnId="1"/>
      <queryTableField id="2" name="Temperature (ºC)" tableColumnId="2"/>
      <queryTableField id="3" name="Wind 10m (m/s)" tableColumnId="3"/>
      <queryTableField id="4" name="Irradiance 0º (W/m2)" tableColumnId="4"/>
      <queryTableField id="5" name="Irradiance 90º W(W/m2)" tableColumnId="5"/>
      <queryTableField id="6" name="PV Power (W)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5" xr16:uid="{89018432-CAAD-4E52-A324-1F7936A38DC8}" autoFormatId="16" applyNumberFormats="0" applyBorderFormats="0" applyFontFormats="0" applyPatternFormats="0" applyAlignmentFormats="0" applyWidthHeightFormats="0">
  <queryTableRefresh nextId="5">
    <queryTableFields count="4">
      <queryTableField id="1" name="Hour" tableColumnId="1"/>
      <queryTableField id="2" name="Occupation Building1" tableColumnId="2"/>
      <queryTableField id="3" name="Occupation Building2" tableColumnId="3"/>
      <queryTableField id="4" name="Occupation Building3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2" xr16:uid="{A3B8F830-D310-4C50-A822-5FBA715397D5}" autoFormatId="16" applyNumberFormats="0" applyBorderFormats="0" applyFontFormats="0" applyPatternFormats="0" applyAlignmentFormats="0" applyWidthHeightFormats="0">
  <queryTableRefresh nextId="14" unboundColumnsRight="7">
    <queryTableFields count="13">
      <queryTableField id="1" name="Hour" tableColumnId="1"/>
      <queryTableField id="2" name="Temperature (ºC)" tableColumnId="2"/>
      <queryTableField id="3" name="Wind 10m (m/s)" tableColumnId="3"/>
      <queryTableField id="4" name="Irradiance 0º (W/m2)" tableColumnId="4"/>
      <queryTableField id="5" name="Irradiance 90º W(W/m2)" tableColumnId="5"/>
      <queryTableField id="6" name="PV Power (W)" tableColumnId="6"/>
      <queryTableField id="7" dataBound="0" tableColumnId="7"/>
      <queryTableField id="8" dataBound="0" tableColumnId="8"/>
      <queryTableField id="9" dataBound="0" tableColumnId="9"/>
      <queryTableField id="12" dataBound="0" tableColumnId="13"/>
      <queryTableField id="10" dataBound="0" tableColumnId="10"/>
      <queryTableField id="13" dataBound="0" tableColumnId="14"/>
      <queryTableField id="11" dataBound="0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9" xr16:uid="{1F26BBD4-C597-46DA-95F6-61E4C4149513}" autoFormatId="16" applyNumberFormats="0" applyBorderFormats="0" applyFontFormats="0" applyPatternFormats="0" applyAlignmentFormats="0" applyWidthHeightFormats="0">
  <queryTableRefresh nextId="8">
    <queryTableFields count="7">
      <queryTableField id="1" name="Hour" tableColumnId="1"/>
      <queryTableField id="2" name="Building 1 (buy)" tableColumnId="2"/>
      <queryTableField id="3" name="Building 1 (sell)" tableColumnId="3"/>
      <queryTableField id="4" name="Building 2 (buy)" tableColumnId="4"/>
      <queryTableField id="5" name="Building 2 (sell)" tableColumnId="5"/>
      <queryTableField id="6" name="Building 3 (buy)" tableColumnId="6"/>
      <queryTableField id="7" name="Building 3 (sell)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1" xr16:uid="{530194E2-31B2-45F7-B9D8-1B70E90D4DB4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2" xr16:uid="{2644A663-84B4-46E1-9072-222DC70E571C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8" xr16:uid="{A03E869F-9936-4EE5-AE7A-19165167AC98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3" xr16:uid="{4DB576C7-5ABB-4254-82AA-CA0EC3D80E2C}" autoFormatId="16" applyNumberFormats="0" applyBorderFormats="0" applyFontFormats="0" applyPatternFormats="0" applyAlignmentFormats="0" applyWidthHeightFormats="0">
  <queryTableRefresh nextId="6" unboundColumnsRight="1">
    <queryTableFields count="2">
      <queryTableField id="1" name="Hour" tableColumnId="1"/>
      <queryTableField id="5" dataBound="0" tableColumnId="2"/>
    </queryTableFields>
    <queryTableDeletedFields count="3">
      <deletedField name="Building 3 (kWh)"/>
      <deletedField name="Buildind 2 (kWh)"/>
      <deletedField name=" Buildind 1 (kWh)"/>
    </queryTableDeleted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2" xr16:uid="{0DC831B1-B70E-4694-B967-EC08097D55E5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0" xr16:uid="{1C80429B-8BCF-4907-B98F-15CD1C6F7BC8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1" xr16:uid="{15C42327-B8E5-4899-AE91-7C2EFFB47F8F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2701F031-A351-4738-89A5-098A8C250456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1" xr16:uid="{A05D29D0-05CC-47C3-BB99-7CD6A7186022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6" xr16:uid="{68FDB169-ABC1-437A-9D24-FCEA3D6346B0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6" xr16:uid="{B8AFA3A1-8810-4280-B984-C4C1CC8933E5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7" xr16:uid="{B6622414-4FEA-42EB-9DED-F4D30B79569E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  <queryTableField id="6" dataBound="0" tableColumnId="6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8" xr16:uid="{56AC3FAB-0AAD-443A-A580-2004475E091B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9" xr16:uid="{51AD291E-2194-485B-BEA1-C2E1A5C14FF8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7" xr16:uid="{64E4DB4D-ACD5-43EF-B55C-CD4A983E5228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3" xr16:uid="{76587F86-17AC-41DE-8375-69F02B5A2302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4" xr16:uid="{BE2D8647-9C5A-4F76-B8D9-8AA8E83628A9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5" xr16:uid="{DEF6DBC2-7388-4515-BAA3-D13748A43445}" autoFormatId="16" applyNumberFormats="0" applyBorderFormats="0" applyFontFormats="0" applyPatternFormats="0" applyAlignmentFormats="0" applyWidthHeightFormats="0">
  <queryTableRefresh nextId="6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6" xr16:uid="{A779D904-6EFC-48FE-AC6F-4627A6A22D05}" autoFormatId="16" applyNumberFormats="0" applyBorderFormats="0" applyFontFormats="0" applyPatternFormats="0" applyAlignmentFormats="0" applyWidthHeightFormats="0">
  <queryTableRefresh nextId="6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7" xr16:uid="{C9389E1D-00A1-4C27-AB73-59053CAE6097}" autoFormatId="16" applyNumberFormats="0" applyBorderFormats="0" applyFontFormats="0" applyPatternFormats="0" applyAlignmentFormats="0" applyWidthHeightFormats="0">
  <queryTableRefresh nextId="6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8" xr16:uid="{DA601D38-26FF-468F-9CAD-4B8F71D9FA70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9" xr16:uid="{0E496C5A-EA7C-414D-8CF6-29BFEF30CA5F}" autoFormatId="16" applyNumberFormats="0" applyBorderFormats="0" applyFontFormats="0" applyPatternFormats="0" applyAlignmentFormats="0" applyWidthHeightFormats="0">
  <queryTableRefresh nextId="6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40" xr16:uid="{2DC957DD-C0DC-49DE-9C54-48DEBFA89ED6}" autoFormatId="16" applyNumberFormats="0" applyBorderFormats="0" applyFontFormats="0" applyPatternFormats="0" applyAlignmentFormats="0" applyWidthHeightFormats="0">
  <queryTableRefresh nextId="6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58" xr16:uid="{D8676ABB-53D2-448C-BC12-242F1AC5119A}" autoFormatId="16" applyNumberFormats="0" applyBorderFormats="0" applyFontFormats="0" applyPatternFormats="0" applyAlignmentFormats="0" applyWidthHeightFormats="0">
  <queryTableRefresh nextId="15" unboundColumnsRight="6">
    <queryTableFields count="10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  <queryTableField id="6" dataBound="0" tableColumnId="6"/>
      <queryTableField id="7" dataBound="0" tableColumnId="7"/>
      <queryTableField id="11" dataBound="0" tableColumnId="11"/>
      <queryTableField id="13" dataBound="0" tableColumnId="13"/>
      <queryTableField id="14" dataBound="0" tableColumnId="14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3" xr16:uid="{48F76F12-34E9-4EF2-B7D0-500E4FA7134F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4" xr16:uid="{28AFB51C-052F-49F2-87A6-B9C54E9E3EA0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5" xr16:uid="{0BA28EDA-C24F-41A2-A452-38DF32E01299}" autoFormatId="16" applyNumberFormats="0" applyBorderFormats="0" applyFontFormats="0" applyPatternFormats="0" applyAlignmentFormats="0" applyWidthHeightFormats="0">
  <queryTableRefresh nextId="6">
    <queryTableFields count="3">
      <queryTableField id="1" name="Hour" tableColumnId="1"/>
      <queryTableField id="2" name=" Buildind 1 (kWh)" tableColumnId="2"/>
      <queryTableField id="3" name="Buildind 2 (kWh)" tableColumnId="3"/>
    </queryTableFields>
    <queryTableDeletedFields count="1">
      <deletedField name="Building 3 (kWh)"/>
    </queryTableDeleted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9" xr16:uid="{2A43ADAE-6E1F-405C-9DD3-E1A83836899A}" autoFormatId="16" applyNumberFormats="0" applyBorderFormats="0" applyFontFormats="0" applyPatternFormats="0" applyAlignmentFormats="0" applyWidthHeightFormats="0">
  <queryTableRefresh nextId="8" unboundColumnsRight="2">
    <queryTableFields count="4">
      <queryTableField id="1" name="Hour" tableColumnId="1"/>
      <queryTableField id="2" name=" Buildind 1 (kWh)" tableColumnId="2"/>
      <queryTableField id="6" dataBound="0" tableColumnId="3"/>
      <queryTableField id="7" dataBound="0" tableColumnId="4"/>
    </queryTableFields>
    <queryTableDeletedFields count="2">
      <deletedField name="Buildind 2 (kWh)"/>
      <deletedField name="Building 3 (kWh)"/>
    </queryTableDeleted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0" xr16:uid="{831BBF3D-06B8-4679-8E03-0F1DDD1A6E6F}" autoFormatId="16" applyNumberFormats="0" applyBorderFormats="0" applyFontFormats="0" applyPatternFormats="0" applyAlignmentFormats="0" applyWidthHeightFormats="0">
  <queryTableRefresh nextId="6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1" xr16:uid="{52761C65-8AF2-40BF-AD63-DC6172F4D8B2}" autoFormatId="16" applyNumberFormats="0" applyBorderFormats="0" applyFontFormats="0" applyPatternFormats="0" applyAlignmentFormats="0" applyWidthHeightFormats="0">
  <queryTableRefresh nextId="6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52" xr16:uid="{2B88D3F3-D421-485D-9D44-83140A286499}" autoFormatId="16" applyNumberFormats="0" applyBorderFormats="0" applyFontFormats="0" applyPatternFormats="0" applyAlignmentFormats="0" applyWidthHeightFormats="0">
  <queryTableRefresh nextId="6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54" xr16:uid="{C44BEABD-1550-4EF9-92F7-BFFA1A2192A5}" autoFormatId="16" applyNumberFormats="0" applyBorderFormats="0" applyFontFormats="0" applyPatternFormats="0" applyAlignmentFormats="0" applyWidthHeightFormats="0">
  <queryTableRefresh nextId="6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55" xr16:uid="{0002ACC4-ED1A-4EE8-A5DB-3A7FF8A9BE2B}" autoFormatId="16" applyNumberFormats="0" applyBorderFormats="0" applyFontFormats="0" applyPatternFormats="0" applyAlignmentFormats="0" applyWidthHeightFormats="0">
  <queryTableRefresh nextId="6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6" xr16:uid="{7858655C-7321-4C60-AECC-18CF11F3DD18}" autoFormatId="16" applyNumberFormats="0" applyBorderFormats="0" applyFontFormats="0" applyPatternFormats="0" applyAlignmentFormats="0" applyWidthHeightFormats="0">
  <queryTableRefresh nextId="6">
    <queryTableFields count="2">
      <queryTableField id="1" name="Hour" tableColumnId="1"/>
      <queryTableField id="2" name=" Buildind 1 (kWh)" tableColumnId="2"/>
    </queryTableFields>
    <queryTableDeletedFields count="2">
      <deletedField name="Building 3 (kWh)"/>
      <deletedField name="Buildind 2 (kWh)"/>
    </queryTableDeleted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60" xr16:uid="{E9B1D031-F5E4-4409-8EF4-E3C577E39A4D}" autoFormatId="16" applyNumberFormats="0" applyBorderFormats="0" applyFontFormats="0" applyPatternFormats="0" applyAlignmentFormats="0" applyWidthHeightFormats="0">
  <queryTableRefresh nextId="8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61" xr16:uid="{EDF6612C-34CC-4C33-A1C7-324996E160B6}" autoFormatId="16" applyNumberFormats="0" applyBorderFormats="0" applyFontFormats="0" applyPatternFormats="0" applyAlignmentFormats="0" applyWidthHeightFormats="0">
  <queryTableRefresh nextId="6">
    <queryTableFields count="4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62" xr16:uid="{635201EE-BD6A-4F94-A0EA-5287B2C49416}" autoFormatId="16" applyNumberFormats="0" applyBorderFormats="0" applyFontFormats="0" applyPatternFormats="0" applyAlignmentFormats="0" applyWidthHeightFormats="0">
  <queryTableRefresh nextId="15" unboundColumnsRight="5">
    <queryTableFields count="9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  <queryTableField id="6" dataBound="0" tableColumnId="6"/>
      <queryTableField id="7" dataBound="0" tableColumnId="7"/>
      <queryTableField id="11" dataBound="0" tableColumnId="11"/>
      <queryTableField id="14" dataBound="0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3" xr16:uid="{A1EE4770-12F4-4144-93E3-272F5B79FF48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5" xr16:uid="{F481ACBF-9B4F-4A55-B911-E6AF83B36467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67" xr16:uid="{A4031D2B-E4D8-45C4-9F44-06F5FDF66440}" autoFormatId="16" applyNumberFormats="0" applyBorderFormats="0" applyFontFormats="0" applyPatternFormats="0" applyAlignmentFormats="0" applyWidthHeightFormats="0">
  <queryTableRefresh nextId="15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68" xr16:uid="{8EB8E6AB-2AC5-4805-BE0F-CC40AFF068EE}" autoFormatId="16" applyNumberFormats="0" applyBorderFormats="0" applyFontFormats="0" applyPatternFormats="0" applyAlignmentFormats="0" applyWidthHeightFormats="0">
  <queryTableRefresh nextId="7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6" dataBound="0" tableColumnId="5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69" xr16:uid="{0EA414E0-52E9-49C6-8B09-EBCE4B60EDBF}" autoFormatId="16" applyNumberFormats="0" applyBorderFormats="0" applyFontFormats="0" applyPatternFormats="0" applyAlignmentFormats="0" applyWidthHeightFormats="0">
  <queryTableRefresh nextId="7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6" dataBound="0" tableColumnId="5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70" xr16:uid="{61D5A9FA-ED78-44DA-86F2-BFA6D19529A8}" autoFormatId="16" applyNumberFormats="0" applyBorderFormats="0" applyFontFormats="0" applyPatternFormats="0" applyAlignmentFormats="0" applyWidthHeightFormats="0">
  <queryTableRefresh nextId="7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6" dataBound="0" tableColumnId="5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1" xr16:uid="{DDFAEAF7-18BA-4EF4-9D82-4707C872FBE9}" autoFormatId="16" applyNumberFormats="0" applyBorderFormats="0" applyFontFormats="0" applyPatternFormats="0" applyAlignmentFormats="0" applyWidthHeightFormats="0">
  <queryTableRefresh nextId="7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6" dataBound="0" tableColumnId="5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2" xr16:uid="{72C70C10-E533-42D5-AA35-0BB0B3D60514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3" xr16:uid="{0C11E13E-4B1A-4780-818D-A548AE61745C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74" xr16:uid="{8BC7806F-C468-4F34-9790-5E71E3438383}" autoFormatId="16" applyNumberFormats="0" applyBorderFormats="0" applyFontFormats="0" applyPatternFormats="0" applyAlignmentFormats="0" applyWidthHeightFormats="0">
  <queryTableRefresh nextId="15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5" dataBound="0" tableColumnId="5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6" xr16:uid="{DD9C2977-20BF-4CD6-8940-342CF3E5FFEA}" autoFormatId="16" applyNumberFormats="0" applyBorderFormats="0" applyFontFormats="0" applyPatternFormats="0" applyAlignmentFormats="0" applyWidthHeightFormats="0">
  <queryTableRefresh nextId="7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6" dataBound="0" tableColumnId="5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77" xr16:uid="{64901492-282C-4023-A9C3-7FF6A4317533}" autoFormatId="16" applyNumberFormats="0" applyBorderFormats="0" applyFontFormats="0" applyPatternFormats="0" applyAlignmentFormats="0" applyWidthHeightFormats="0">
  <queryTableRefresh nextId="7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6" dataBound="0" tableColumnId="5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8" xr16:uid="{AB4E2D4A-B7E0-4DC6-AD07-6515F66746A7}" autoFormatId="16" applyNumberFormats="0" applyBorderFormats="0" applyFontFormats="0" applyPatternFormats="0" applyAlignmentFormats="0" applyWidthHeightFormats="0">
  <queryTableRefresh nextId="7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6" dataBound="0" tableColumnId="5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79" xr16:uid="{86E784CF-BD36-452A-AC6D-F98DCA5B7443}" autoFormatId="16" applyNumberFormats="0" applyBorderFormats="0" applyFontFormats="0" applyPatternFormats="0" applyAlignmentFormats="0" applyWidthHeightFormats="0">
  <queryTableRefresh nextId="7" unboundColumnsRight="1">
    <queryTableFields count="5">
      <queryTableField id="1" name="Hour" tableColumnId="1"/>
      <queryTableField id="2" name=" Buildind 1 (kWh)" tableColumnId="2"/>
      <queryTableField id="3" name="Buildind 2 (kWh)" tableColumnId="3"/>
      <queryTableField id="4" name="Building 3 (kWh)" tableColumnId="4"/>
      <queryTableField id="6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FB19F3-851E-4805-A2F4-D14267E6BDCF}" name="ev_info" displayName="ev_info" ref="D31:E44" tableType="queryTable" totalsRowShown="0" headerRowDxfId="412" dataDxfId="411">
  <autoFilter ref="D31:E44" xr:uid="{53FB19F3-851E-4805-A2F4-D14267E6BDCF}"/>
  <tableColumns count="2">
    <tableColumn id="1" xr3:uid="{82E6BE16-63F1-43E8-8A3F-168F24CC78B8}" uniqueName="1" name="Column1" queryTableFieldId="1" dataDxfId="410"/>
    <tableColumn id="2" xr3:uid="{E5ED82CA-83CA-4AA6-85C6-44D32C5E1F3A}" uniqueName="2" name="Column2" queryTableFieldId="2" dataDxfId="40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33BAC6F-D73C-4064-BA7B-D572B5B793FC}" name="building1_data" displayName="building1_data" ref="G31:H57" tableType="queryTable" totalsRowShown="0" headerRowDxfId="408" dataDxfId="407">
  <autoFilter ref="G31:H57" xr:uid="{F33BAC6F-D73C-4064-BA7B-D572B5B793FC}"/>
  <tableColumns count="2">
    <tableColumn id="1" xr3:uid="{4C523195-EA7C-49B0-886F-5990BCE2B8CE}" uniqueName="1" name="Column1" queryTableFieldId="1" dataDxfId="406"/>
    <tableColumn id="2" xr3:uid="{1CC0845E-6335-4764-819E-906143EB2B54}" uniqueName="2" name="Column2" queryTableFieldId="2" dataDxfId="40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B6417B5-3A33-4AEB-8F97-FD1CB8020492}" name="final_electricity__13" displayName="final_electricity__13" ref="A2:D26" tableType="queryTable" totalsRowShown="0" headerRowDxfId="404" dataDxfId="403">
  <autoFilter ref="A2:D26" xr:uid="{CB6417B5-3A33-4AEB-8F97-FD1CB8020492}"/>
  <tableColumns count="4">
    <tableColumn id="1" xr3:uid="{2E6D7298-C07F-41A6-89D8-93C1DF5740D8}" uniqueName="1" name="Hour" queryTableFieldId="1" dataDxfId="402"/>
    <tableColumn id="2" xr3:uid="{D585FC3A-82AB-49A5-801B-5D29F179673D}" uniqueName="2" name=" Buildind 1 (kWh)" queryTableFieldId="2" dataDxfId="401"/>
    <tableColumn id="3" xr3:uid="{DBC1A0FF-48FD-4ECE-BB96-0CA4FCCB9EDF}" uniqueName="3" name="Buildind 2 (kWh)" queryTableFieldId="3" dataDxfId="400"/>
    <tableColumn id="4" xr3:uid="{FA61CDA4-AFB8-4276-989C-B124A35631B4}" uniqueName="4" name="Building 3 (kWh)" queryTableFieldId="4" dataDxfId="399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1407730-46A8-494E-86AC-A72C939C2BDD}" name="climate_data__5" displayName="climate_data__5" ref="F2:K26" tableType="queryTable" totalsRowShown="0" headerRowDxfId="398" dataDxfId="397">
  <autoFilter ref="F2:K26" xr:uid="{51407730-46A8-494E-86AC-A72C939C2BDD}"/>
  <tableColumns count="6">
    <tableColumn id="1" xr3:uid="{7F560E99-65F6-49A1-B249-F9DAE950FB8D}" uniqueName="1" name="Hour" queryTableFieldId="1" dataDxfId="396"/>
    <tableColumn id="2" xr3:uid="{0DEE6B8C-2EE4-43EA-945F-9BDE6254D82B}" uniqueName="2" name="Temperature (ºC)" queryTableFieldId="2" dataDxfId="395"/>
    <tableColumn id="3" xr3:uid="{1F7AC233-568A-4153-8EED-3616502D6621}" uniqueName="3" name="Wind 10m (m/s)" queryTableFieldId="3" dataDxfId="394"/>
    <tableColumn id="4" xr3:uid="{D8B6A8AF-96BC-495D-8173-9F705AB8F0E3}" uniqueName="4" name="Irradiance 0º (W/m2)" queryTableFieldId="4" dataDxfId="393"/>
    <tableColumn id="5" xr3:uid="{E37907DB-6D34-4A90-B3F0-63C4867A8426}" uniqueName="5" name="Irradiance 90º W(W/m2)" queryTableFieldId="5" dataDxfId="392"/>
    <tableColumn id="6" xr3:uid="{4448BB52-8770-472E-A397-3B8C07896F86}" uniqueName="6" name="PV Power (W)" queryTableFieldId="6" dataDxfId="39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70ABEA6-0822-4BA0-AAEB-100016403EF5}" name="occupation__4" displayName="occupation__4" ref="M2:P26" tableType="queryTable" totalsRowShown="0" headerRowDxfId="390" dataDxfId="389">
  <autoFilter ref="M2:P26" xr:uid="{670ABEA6-0822-4BA0-AAEB-100016403EF5}"/>
  <tableColumns count="4">
    <tableColumn id="1" xr3:uid="{DB2D815A-9664-4AC0-9702-47A6130612D6}" uniqueName="1" name="Hour" queryTableFieldId="1" dataDxfId="388"/>
    <tableColumn id="2" xr3:uid="{F4A03E82-EA06-4486-92B0-57707CA10E8D}" uniqueName="2" name="Occupation Building1" queryTableFieldId="2" dataDxfId="387"/>
    <tableColumn id="3" xr3:uid="{273B43B9-00EC-407C-83EE-71323E7FB649}" uniqueName="3" name="Occupation Building2" queryTableFieldId="3" dataDxfId="386"/>
    <tableColumn id="4" xr3:uid="{6C479501-AEA3-40B1-B2DC-9F92C3CEA6B0}" uniqueName="4" name="Occupation Building3" queryTableFieldId="4" dataDxfId="38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B16E99C-8F48-4908-8E64-209DEDEC25BF}" name="climate_data213" displayName="climate_data213" ref="A2:F26" tableType="queryTable" totalsRowShown="0" headerRowDxfId="384" dataDxfId="383">
  <autoFilter ref="A2:F26" xr:uid="{CB16E99C-8F48-4908-8E64-209DEDEC25BF}"/>
  <tableColumns count="6">
    <tableColumn id="1" xr3:uid="{D3A32DE5-CC68-4FF2-BE72-B033B06F106E}" uniqueName="1" name="Hour" queryTableFieldId="1" dataDxfId="382"/>
    <tableColumn id="2" xr3:uid="{744DD56F-300A-4C89-8767-523300D90FC4}" uniqueName="2" name="Temperature (ºC)" queryTableFieldId="2" dataDxfId="381"/>
    <tableColumn id="3" xr3:uid="{C0BED3FA-6B3A-4B49-8C23-AEB934CC1981}" uniqueName="3" name="Wind 10m (m/s)" queryTableFieldId="3" dataDxfId="380"/>
    <tableColumn id="4" xr3:uid="{A13CBE81-1AC0-4035-8861-D1D395EDAE41}" uniqueName="4" name="Irradiance 0º (W/m2)" queryTableFieldId="4" dataDxfId="379"/>
    <tableColumn id="5" xr3:uid="{9DAAE6E4-FA14-4B95-ADDB-91B92B8D24EB}" uniqueName="5" name="Irradiance 90º W(W/m2)" queryTableFieldId="5" dataDxfId="378"/>
    <tableColumn id="6" xr3:uid="{731B0579-3306-4E4B-A5E4-A1FC5A70C5E2}" uniqueName="6" name="PV Power (W)" queryTableFieldId="6" dataDxfId="37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A860473-B2CC-44A8-8592-82CB25E65AA9}" name="occupation__114" displayName="occupation__114" ref="H2:K26" tableType="queryTable" totalsRowShown="0" headerRowDxfId="376" dataDxfId="375">
  <autoFilter ref="H2:K26" xr:uid="{AA860473-B2CC-44A8-8592-82CB25E65AA9}"/>
  <tableColumns count="4">
    <tableColumn id="1" xr3:uid="{D354EC8E-E118-4DF4-99F6-09FD85D0B511}" uniqueName="1" name="Hour" queryTableFieldId="1" dataDxfId="374"/>
    <tableColumn id="2" xr3:uid="{E475D4DF-E5B4-4644-AB96-222FA60AF3B6}" uniqueName="2" name="Occupation Building1" queryTableFieldId="2" dataDxfId="373"/>
    <tableColumn id="3" xr3:uid="{AEE0687D-360E-4851-BA82-15972C97B4FD}" uniqueName="3" name="Occupation Building2" queryTableFieldId="3" dataDxfId="372"/>
    <tableColumn id="4" xr3:uid="{3A9357FE-3477-4BCF-9CF5-A59E1D531229}" uniqueName="4" name="Occupation Building3" queryTableFieldId="4" dataDxfId="371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CF351C9-FDB4-47BE-801C-E68D15B3A736}" name="climate_data21317" displayName="climate_data21317" ref="M2:Y26" tableType="queryTable" totalsRowShown="0" headerRowDxfId="370" dataDxfId="369">
  <autoFilter ref="M2:Y26" xr:uid="{ACF351C9-FDB4-47BE-801C-E68D15B3A736}"/>
  <tableColumns count="13">
    <tableColumn id="1" xr3:uid="{15F71F4F-C73B-4E54-9932-8CAC7F766D86}" uniqueName="1" name="Hour" queryTableFieldId="1" dataDxfId="368"/>
    <tableColumn id="2" xr3:uid="{2DD48A8A-EF07-4C5F-8048-1BE52546AE54}" uniqueName="2" name="Internal gains (W)" queryTableFieldId="2" dataDxfId="367"/>
    <tableColumn id="3" xr3:uid="{07D792DC-6BA5-4BD6-95A8-FA9C2F4F2DA1}" uniqueName="3" name="Solar gains (W)" queryTableFieldId="3" dataDxfId="366"/>
    <tableColumn id="4" xr3:uid="{53AFC039-D97B-422E-BD08-F440D404215A}" uniqueName="4" name="Infiltration (W)" queryTableFieldId="4" dataDxfId="365"/>
    <tableColumn id="5" xr3:uid="{2D2CB1B3-28A4-44BE-BDAD-E01BEB3E49F8}" uniqueName="5" name="Cond. Walls (W)" queryTableFieldId="5" dataDxfId="364"/>
    <tableColumn id="6" xr3:uid="{8F7B68AA-565D-4BD1-9EE9-510F12341AE0}" uniqueName="6" name="Cond. Floor (W)" queryTableFieldId="6" dataDxfId="363"/>
    <tableColumn id="7" xr3:uid="{7CD70313-2FD7-489D-AE42-34DC00C3FDA8}" uniqueName="7" name="Cond. Ceiling (W)" queryTableFieldId="7" dataDxfId="362">
      <calculatedColumnFormula>-($D$48*$D$43*(climate_data213[[#This Row],[Temperature (ºC)]]-$D$50))</calculatedColumnFormula>
    </tableColumn>
    <tableColumn id="8" xr3:uid="{3F07881E-7260-48DF-A6F8-FA9BD2DD4648}" uniqueName="8" name="Cond. Windows (W)" queryTableFieldId="8" dataDxfId="361">
      <calculatedColumnFormula>-($D$49*$D$46*(climate_data213[[#This Row],[Temperature (ºC)]]-$D$50))</calculatedColumnFormula>
    </tableColumn>
    <tableColumn id="9" xr3:uid="{58B90F92-AC6D-4C85-A246-EBD63C202D99}" uniqueName="9" name="Heating(W)" queryTableFieldId="9" dataDxfId="360">
      <calculatedColumnFormula>IF(AND(climate_data213[[#This Row],[Temperature (ºC)]] &lt; 16,occupation__114[[#This Row],[Occupation Building1]]&gt;0), SUM(climate_data21317[[#This Row],[Internal gains (W)]]:climate_data21317[[#This Row],[Cond. Windows (W)]]),0)</calculatedColumnFormula>
    </tableColumn>
    <tableColumn id="13" xr3:uid="{19A95FEB-2AC1-4E5D-A235-BE7310D0F3DF}" uniqueName="13" name="Heating Electricity (Wh)" queryTableFieldId="12" dataDxfId="359">
      <calculatedColumnFormula>climate_data21317[[#This Row],[Heating(W)]]/Inputs!$H$51</calculatedColumnFormula>
    </tableColumn>
    <tableColumn id="10" xr3:uid="{B3CB02E4-3CDA-478C-8437-20A2B92D4E81}" uniqueName="10" name="Cooling (W)" queryTableFieldId="10" dataDxfId="358">
      <calculatedColumnFormula>IF(AND(climate_data213[[#This Row],[Temperature (ºC)]] &gt; 25,occupation__114[[#This Row],[Occupation Building1]]&gt;0),SUM(climate_data21317[[#This Row],[Internal gains (W)]]:climate_data21317[[#This Row],[Cond. Windows (W)]]),0)</calculatedColumnFormula>
    </tableColumn>
    <tableColumn id="14" xr3:uid="{4DA6AF87-BF6A-4EDD-922D-C0270918C9E6}" uniqueName="14" name="Cooling Electricity (Wh)" queryTableFieldId="13" dataDxfId="357">
      <calculatedColumnFormula>climate_data21317[[#This Row],[Cooling (W)]]/Inputs!$H$52</calculatedColumnFormula>
    </tableColumn>
    <tableColumn id="11" xr3:uid="{45FE734A-5865-4CDF-BEA0-CD2E63FAABD3}" uniqueName="11" name="Water Heating (KJ)" queryTableFieldId="11" dataDxfId="356">
      <calculatedColumnFormula>($D$63*MAX(occupation__114[[#This Row],[Occupation Building1]]:I26)*$D$65*$D$64*($D$62-$D$61))/(24*1000)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4BB26C-EFF2-47ED-9657-E53258F61A0A}" name="tariffs" displayName="tariffs" ref="A2:G26" tableType="queryTable" totalsRowShown="0" headerRowDxfId="355" dataDxfId="354">
  <autoFilter ref="A2:G26" xr:uid="{A34BB26C-EFF2-47ED-9657-E53258F61A0A}"/>
  <tableColumns count="7">
    <tableColumn id="1" xr3:uid="{A8180220-758E-4C73-9B03-20850C5A66EE}" uniqueName="1" name="Hour" queryTableFieldId="1" dataDxfId="353"/>
    <tableColumn id="2" xr3:uid="{0BC889AA-EF0D-44B1-90B2-61EEFCC77ABD}" uniqueName="2" name="Building 1 (buy)" queryTableFieldId="2" dataDxfId="352"/>
    <tableColumn id="3" xr3:uid="{53A73882-2456-49F7-BA48-623C675FC626}" uniqueName="3" name="Building 1 (sell)" queryTableFieldId="3" dataDxfId="351"/>
    <tableColumn id="4" xr3:uid="{4A20FEED-7BDF-4EA8-9E6A-6B25FA5A67F1}" uniqueName="4" name="Building 2 (buy)" queryTableFieldId="4" dataDxfId="350"/>
    <tableColumn id="5" xr3:uid="{D35AD715-1372-40E3-9F85-4EF62BD4AD65}" uniqueName="5" name="Building 2 (sell)" queryTableFieldId="5" dataDxfId="349"/>
    <tableColumn id="6" xr3:uid="{AFDF8221-E5FA-49AF-9F0D-DD4A9234672F}" uniqueName="6" name="Building 3 (buy)" queryTableFieldId="6" dataDxfId="348"/>
    <tableColumn id="7" xr3:uid="{DCF3EE62-AB74-4135-B56B-F4AF2F34AC97}" uniqueName="7" name="Building 3 (sell)" queryTableFieldId="7" dataDxfId="347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F3C684-9E5D-46A9-B215-8AB1881810BF}" name="final_electricity__16" displayName="final_electricity__16" ref="A2:E27" tableType="queryTable" totalsRowShown="0" headerRowDxfId="346" dataDxfId="345">
  <autoFilter ref="A2:E27" xr:uid="{5FF3C684-9E5D-46A9-B215-8AB1881810BF}"/>
  <tableColumns count="5">
    <tableColumn id="1" xr3:uid="{49C69071-A990-44CC-8E1A-4DE7FCAFFE60}" uniqueName="1" name="Hour" queryTableFieldId="1" dataDxfId="344"/>
    <tableColumn id="2" xr3:uid="{4F4D470F-BBDA-4637-BB25-775D880CAE0E}" uniqueName="2" name=" Building 1 (kWh)" queryTableFieldId="2" dataDxfId="343"/>
    <tableColumn id="3" xr3:uid="{3299D4A3-D504-4C5B-9282-D366701AAE0A}" uniqueName="3" name="Building 2 (kWh)" queryTableFieldId="3" dataDxfId="342"/>
    <tableColumn id="4" xr3:uid="{99620D6B-3544-42E7-837D-2CEBA953906B}" uniqueName="4" name="Building 3 (kWh)" queryTableFieldId="4" dataDxfId="341"/>
    <tableColumn id="5" xr3:uid="{C44DAB53-B27B-4E5E-AB23-E56D1D133EBB}" uniqueName="5" name="Community" queryTableFieldId="5" dataDxfId="340">
      <calculatedColumnFormula>SUM(final_electricity__16[[#This Row],[ Building 1 (kWh)]]:final_electricity__16[[#This Row],[Building 3 (kWh)]])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07F683A-0040-4638-8583-ABF6EF928A53}" name="final_electricity__1629" displayName="final_electricity__1629" ref="G2:K27" tableType="queryTable" totalsRowShown="0" headerRowDxfId="339" dataDxfId="338">
  <autoFilter ref="G2:K27" xr:uid="{907F683A-0040-4638-8583-ABF6EF928A53}"/>
  <tableColumns count="5">
    <tableColumn id="1" xr3:uid="{4FA728AD-8894-4A0F-9D6C-9421799220FD}" uniqueName="1" name="Hour" queryTableFieldId="1" dataDxfId="337"/>
    <tableColumn id="2" xr3:uid="{7458D995-2514-4CB2-8B91-0E8452D99976}" uniqueName="2" name=" Building 1 (kWh)" queryTableFieldId="2" dataDxfId="336"/>
    <tableColumn id="3" xr3:uid="{99EBF4A5-CE78-46A3-B98A-038C4191DE64}" uniqueName="3" name="Building 2 (kWh)" queryTableFieldId="3" dataDxfId="335"/>
    <tableColumn id="4" xr3:uid="{61E69789-2908-4CCD-8016-509F07028EDB}" uniqueName="4" name="Building 3 (kWh)" queryTableFieldId="4" dataDxfId="334"/>
    <tableColumn id="5" xr3:uid="{59337E00-8302-4F02-98DC-6A7D0AE9F80D}" uniqueName="5" name="Community" queryTableFieldId="5" dataDxfId="333">
      <calculatedColumnFormula>SUM(H3:J3)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27CC58-DF9E-418B-902E-B40AB52700F8}" name="final_electricity__16295" displayName="final_electricity__16295" ref="M2:Q27" tableType="queryTable" totalsRowShown="0" headerRowDxfId="332" dataDxfId="331">
  <autoFilter ref="M2:Q27" xr:uid="{EE27CC58-DF9E-418B-902E-B40AB52700F8}"/>
  <tableColumns count="5">
    <tableColumn id="1" xr3:uid="{E5085E41-3ACB-43F5-949C-0A949307699D}" uniqueName="1" name="Hour" queryTableFieldId="1" dataDxfId="330"/>
    <tableColumn id="2" xr3:uid="{43A2A7C2-AB4C-4806-9130-6AF18002EDC0}" uniqueName="2" name=" Building 1 (kWh)" queryTableFieldId="2" dataDxfId="329"/>
    <tableColumn id="3" xr3:uid="{E44F8FC2-821C-42E4-9A50-BC618527E35E}" uniqueName="3" name="Building 2 (kWh)" queryTableFieldId="3" dataDxfId="328"/>
    <tableColumn id="4" xr3:uid="{C5BB3900-4CA8-4C2A-8B2D-AF648C94C8D0}" uniqueName="4" name="Building 3 (kWh)" queryTableFieldId="4" dataDxfId="327"/>
    <tableColumn id="5" xr3:uid="{45CF8045-3C98-4A17-A8B7-EC89326AC957}" uniqueName="5" name="Community" queryTableFieldId="5" dataDxfId="326">
      <calculatedColumnFormula>SUM(N3:P3)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58B8F5A-8E52-4AFD-AC4B-F40DCB84843F}" name="final_electricity__118" displayName="final_electricity__118" ref="K2:L26" tableType="queryTable" totalsRowShown="0" headerRowDxfId="325" dataDxfId="324">
  <autoFilter ref="K2:L26" xr:uid="{558B8F5A-8E52-4AFD-AC4B-F40DCB84843F}"/>
  <tableColumns count="2">
    <tableColumn id="1" xr3:uid="{E3EEBE6B-C88A-44C2-BCE1-624C048A5286}" uniqueName="1" name="Hour" queryTableFieldId="1" dataDxfId="323"/>
    <tableColumn id="2" xr3:uid="{C61380C1-1459-44DC-80B6-8C68D94E62F5}" uniqueName="2" name="Generation" queryTableFieldId="5" dataDxfId="322">
      <calculatedColumnFormula>climate_data__5[[#This Row],[Irradiance 0º (W/m2)]]*'Conversion Technologies'!$I$3*'Conversion Technologies'!$I$4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D840B1A-BB03-46FB-BA25-30F251108F5F}" name="final_electricity__1610" displayName="final_electricity__1610" ref="A2:E27" tableType="queryTable" totalsRowShown="0" headerRowDxfId="321" dataDxfId="320">
  <autoFilter ref="A2:E27" xr:uid="{AD840B1A-BB03-46FB-BA25-30F251108F5F}"/>
  <tableColumns count="5">
    <tableColumn id="1" xr3:uid="{ED80ECEC-9D3F-4446-964F-59F9DE3EABD0}" uniqueName="1" name="Hour" queryTableFieldId="1" dataDxfId="319"/>
    <tableColumn id="2" xr3:uid="{7827A0C9-6482-4401-8516-A129D9B21BC1}" uniqueName="2" name=" Buildind 1 (toe)" queryTableFieldId="2" dataDxfId="318"/>
    <tableColumn id="3" xr3:uid="{64CC8B8B-55EC-447C-ACEB-E44DE60BCB15}" uniqueName="3" name="Buildind 2 (toe)" queryTableFieldId="3" dataDxfId="317"/>
    <tableColumn id="4" xr3:uid="{5E7A79E0-BEF9-4F66-9BFA-DF09DDA1276B}" uniqueName="4" name="Building 3 (toe)" queryTableFieldId="4" dataDxfId="316"/>
    <tableColumn id="5" xr3:uid="{0CD1CC33-6696-4014-8E7B-BE67E5CCD205}" uniqueName="5" name="Community" queryTableFieldId="5" dataDxfId="315">
      <calculatedColumnFormula>final_electricity__16[[#This Row],[Community]]/'Conversion Technologies'!$D$2/'Primary Energy'!$V$4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CE4DE0C-EE8B-44AD-B5D1-34C60A9729F6}" name="final_electricity__161028" displayName="final_electricity__161028" ref="G2:K27" tableType="queryTable" totalsRowShown="0" headerRowDxfId="314" dataDxfId="313">
  <autoFilter ref="G2:K27" xr:uid="{ECE4DE0C-EE8B-44AD-B5D1-34C60A9729F6}"/>
  <tableColumns count="5">
    <tableColumn id="1" xr3:uid="{E27C0D9E-7582-441D-ABE1-45EB3A129F86}" uniqueName="1" name="Hour" queryTableFieldId="1" dataDxfId="312"/>
    <tableColumn id="2" xr3:uid="{721CD69F-B7ED-4475-9ECC-5D23D9FD6BE8}" uniqueName="2" name=" Buildind 1 (toe)" queryTableFieldId="2" dataDxfId="311"/>
    <tableColumn id="3" xr3:uid="{AF4B9C06-DBF7-4F51-A4C5-85F08064F2DA}" uniqueName="3" name="Buildind 2 (toe)" queryTableFieldId="3" dataDxfId="310"/>
    <tableColumn id="4" xr3:uid="{F134B8E4-74DD-4067-9226-AAAA65C9A37E}" uniqueName="4" name="Building 3 (toe)" queryTableFieldId="4" dataDxfId="309"/>
    <tableColumn id="5" xr3:uid="{9A406177-76B7-4B6A-9E9E-306EA6E017D3}" uniqueName="5" name="Community" queryTableFieldId="5" dataDxfId="308">
      <calculatedColumnFormula>final_electricity__16[[#This Row],[Community]]/'Conversion Technologies'!$D$2/'Primary Energy'!$V$4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B79CC3A6-2D0B-4725-9BB3-A8499AA5B809}" name="final_electricity__16102838" displayName="final_electricity__16102838" ref="M2:Q27" tableType="queryTable" totalsRowShown="0" headerRowDxfId="307" dataDxfId="306">
  <autoFilter ref="M2:Q27" xr:uid="{B79CC3A6-2D0B-4725-9BB3-A8499AA5B809}"/>
  <tableColumns count="5">
    <tableColumn id="1" xr3:uid="{AAE1A9AE-C921-4DF8-AD41-D5086C0A3EAC}" uniqueName="1" name="Hour" queryTableFieldId="1" dataDxfId="305"/>
    <tableColumn id="2" xr3:uid="{B33A4C8C-ABE9-4523-B7B0-ABBF2E30B21A}" uniqueName="2" name=" Buildind 1 (toe)" queryTableFieldId="2" dataDxfId="304"/>
    <tableColumn id="3" xr3:uid="{E794628B-515E-49F0-80A4-83B2C02D6592}" uniqueName="3" name="Buildind 2 (toe)" queryTableFieldId="3" dataDxfId="303"/>
    <tableColumn id="4" xr3:uid="{AE0912D2-EF40-4280-8FE1-7C7292BB6BAD}" uniqueName="4" name="Building 3 (toe)" queryTableFieldId="4" dataDxfId="302"/>
    <tableColumn id="5" xr3:uid="{286B3DA7-DC9E-4C49-BB05-D2CBBF3A9D14}" uniqueName="5" name="Community" queryTableFieldId="5" dataDxfId="301">
      <calculatedColumnFormula>final_electricity__16[[#This Row],[Community]]/'Conversion Technologies'!$D$2/'Primary Energy'!$V$4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2779BE8-D61A-4F30-9EE9-A6728BF3F5AB}" name="final_electricity__1619" displayName="final_electricity__1619" ref="A2:E27" tableType="queryTable" totalsRowShown="0" headerRowDxfId="300" dataDxfId="299">
  <autoFilter ref="A2:E27" xr:uid="{D2779BE8-D61A-4F30-9EE9-A6728BF3F5AB}"/>
  <tableColumns count="5">
    <tableColumn id="1" xr3:uid="{E5FF64C2-550C-4934-B9E9-C83C957F1FE5}" uniqueName="1" name="Hour" queryTableFieldId="1" dataDxfId="298"/>
    <tableColumn id="2" xr3:uid="{F493B64E-A9C5-465F-A718-4CADFDCA2EAA}" uniqueName="2" name=" Building 1 (kWh)" queryTableFieldId="2" dataDxfId="297"/>
    <tableColumn id="3" xr3:uid="{444C2BFB-7B0B-449C-B2C5-BC5ECF60638F}" uniqueName="3" name="Building 2 (kWh)" queryTableFieldId="3" dataDxfId="296"/>
    <tableColumn id="4" xr3:uid="{CB0A3D88-9D28-479D-AC8F-9064766FBCDF}" uniqueName="4" name="Building 3 (kWh)" queryTableFieldId="4" dataDxfId="295"/>
    <tableColumn id="5" xr3:uid="{9A2021E6-B3FA-44B1-A2BA-6F78AE9BE564}" uniqueName="5" name="Community" queryTableFieldId="5" dataDxfId="294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62E4956-CCEA-435E-83E3-B2757D836FFB}" name="final_electricity__161515" displayName="final_electricity__161515" ref="G2:K27" tableType="queryTable" totalsRowShown="0" headerRowDxfId="293" dataDxfId="292">
  <autoFilter ref="G2:K27" xr:uid="{462E4956-CCEA-435E-83E3-B2757D836FFB}"/>
  <tableColumns count="5">
    <tableColumn id="1" xr3:uid="{9D3779D0-4B95-438A-8B1D-37D20C709A78}" uniqueName="1" name="Hour" queryTableFieldId="1" dataDxfId="291"/>
    <tableColumn id="2" xr3:uid="{A56EB93B-AFF4-4BBE-8E0C-14DE726F05D1}" uniqueName="2" name=" Building 1 (kWh)" queryTableFieldId="2" dataDxfId="290"/>
    <tableColumn id="3" xr3:uid="{778D4A0A-5532-4F03-BFEC-76FD615BB0C7}" uniqueName="3" name="Building 2 (kWh)" queryTableFieldId="3" dataDxfId="289"/>
    <tableColumn id="4" xr3:uid="{A1365CC0-46E1-4B29-ACC1-ED99CF3F72F0}" uniqueName="4" name="Building 3 (kWh)" queryTableFieldId="4" dataDxfId="288"/>
    <tableColumn id="5" xr3:uid="{BAA7740F-CD83-4EA9-A144-D3DBD50B6DF1}" uniqueName="5" name="Community" queryTableFieldId="5" dataDxfId="287">
      <calculatedColumnFormula>final_electricity__1619[[#This Row],[Community]]*tariffs[[#This Row],[Building 2 (buy)]]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3EF2F7-96B4-43AF-B1E3-B9A72103C51C}" name="final_electricity__1615152" displayName="final_electricity__1615152" ref="M2:Q27" tableType="queryTable" totalsRowShown="0" headerRowDxfId="286" dataDxfId="285">
  <autoFilter ref="M2:Q27" xr:uid="{C53EF2F7-96B4-43AF-B1E3-B9A72103C51C}"/>
  <tableColumns count="5">
    <tableColumn id="1" xr3:uid="{3978BBE2-FECC-4A51-829F-24865D649353}" uniqueName="1" name="Hour" queryTableFieldId="1" dataDxfId="284"/>
    <tableColumn id="2" xr3:uid="{E0CC387A-C147-43BD-B37F-663D1E4C51EC}" uniqueName="2" name=" Building 1 (kWh)" queryTableFieldId="2" dataDxfId="283"/>
    <tableColumn id="3" xr3:uid="{F8D7F4B4-AEE2-4A3F-AC2E-3BC3FDA336E3}" uniqueName="3" name="Building 2 (kWh)" queryTableFieldId="3" dataDxfId="282"/>
    <tableColumn id="4" xr3:uid="{3BF5272B-12E7-4F02-BBDB-DBC5FCEA323A}" uniqueName="4" name="Building 3 (kWh)" queryTableFieldId="4" dataDxfId="281"/>
    <tableColumn id="5" xr3:uid="{8C8D174F-1E32-4B29-BE6D-EC0772BED4EA}" uniqueName="5" name="Community" queryTableFieldId="5" dataDxfId="280">
      <calculatedColumnFormula>final_electricity__1615152[[#This Row],[ Building 1 (kWh)]]+final_electricity__1615152[[#This Row],[Building 2 (kWh)]]+final_electricity__1615152[[#This Row],[Building 3 (kWh)]]</calculatedColumnFormula>
    </tableColumn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A27366A-50F7-4B86-9A0D-42D047D9A48F}" name="final_electricity__161924" displayName="final_electricity__161924" ref="A2:E27" tableType="queryTable" totalsRowShown="0" headerRowDxfId="279" dataDxfId="278">
  <autoFilter ref="A2:E27" xr:uid="{7A27366A-50F7-4B86-9A0D-42D047D9A48F}"/>
  <tableColumns count="5">
    <tableColumn id="1" xr3:uid="{0854B45F-0F7B-4633-B602-9F1AE61C36AA}" uniqueName="1" name="Hour" queryTableFieldId="1" dataDxfId="277"/>
    <tableColumn id="2" xr3:uid="{100D7C1F-45C4-4369-B78D-6C02434BF7F3}" uniqueName="2" name=" Building 1 (kWh)" queryTableFieldId="2" dataDxfId="276"/>
    <tableColumn id="3" xr3:uid="{36FC868B-7C28-49DD-9F08-1025C66F9F7D}" uniqueName="3" name="Building 2 (kWh)" queryTableFieldId="3" dataDxfId="275"/>
    <tableColumn id="4" xr3:uid="{9315A644-D106-413D-ACF4-522354DDE844}" uniqueName="4" name="Building 3 (kWh)" queryTableFieldId="4" dataDxfId="274"/>
    <tableColumn id="5" xr3:uid="{D661E25D-ACAB-4701-9052-9662722316B2}" uniqueName="5" name="Community" queryTableFieldId="5" dataDxfId="273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BD622EE-D6D0-4D8C-8F68-231DFB1E3395}" name="final_electricity__16192425" displayName="final_electricity__16192425" ref="G2:L27" tableType="queryTable" totalsRowShown="0" headerRowDxfId="272" dataDxfId="271">
  <autoFilter ref="G2:L27" xr:uid="{EBD622EE-D6D0-4D8C-8F68-231DFB1E3395}"/>
  <tableColumns count="6">
    <tableColumn id="1" xr3:uid="{B1D5D0F8-EA53-4CEC-83B4-3A1982E1F37D}" uniqueName="1" name="Hour" queryTableFieldId="1" dataDxfId="270"/>
    <tableColumn id="2" xr3:uid="{FD0260C7-3A11-4FE0-B5A3-49224B156D67}" uniqueName="2" name="Heating (kWh)" queryTableFieldId="2" dataDxfId="269"/>
    <tableColumn id="3" xr3:uid="{E6784CE8-8CBE-40AD-BCBF-838284E1C295}" uniqueName="3" name="Cooling (kWh)" queryTableFieldId="3" dataDxfId="268"/>
    <tableColumn id="4" xr3:uid="{C2D4AD6E-420F-41DF-A615-0AC28771CDDE}" uniqueName="4" name="EV charging (kWh)" queryTableFieldId="4" dataDxfId="267"/>
    <tableColumn id="5" xr3:uid="{0C29526B-29B6-407C-A9E7-F433A794155A}" uniqueName="5" name="Water heating (kWh)" queryTableFieldId="5" dataDxfId="266">
      <calculatedColumnFormula>final_electricity__16[[#This Row],[Community]]</calculatedColumnFormula>
    </tableColumn>
    <tableColumn id="6" xr3:uid="{67926675-EFC3-4241-A3E2-B56EABE5664B}" uniqueName="6" name="Total" queryTableFieldId="6" dataDxfId="265">
      <calculatedColumnFormula>SUM(final_electricity__16192425[[#This Row],[Heating (kWh)]]:final_electricity__16192425[[#This Row],[Water heating (kWh)]])</calculatedColumnFormula>
    </tableColumn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9BB4D16-5F33-4B40-9574-BD2F467E8513}" name="final_electricity__16192426" displayName="final_electricity__16192426" ref="N2:R27" tableType="queryTable" totalsRowShown="0" headerRowDxfId="264" dataDxfId="263">
  <autoFilter ref="N2:R27" xr:uid="{89BB4D16-5F33-4B40-9574-BD2F467E8513}"/>
  <tableColumns count="5">
    <tableColumn id="1" xr3:uid="{66406D67-DDF2-4B40-9054-54DEFA5A545B}" uniqueName="1" name="Hour" queryTableFieldId="1" dataDxfId="262"/>
    <tableColumn id="2" xr3:uid="{9B930E6E-B48C-4D10-BE00-3F43069A0AD1}" uniqueName="2" name=" Building 1 (kWh)" queryTableFieldId="2" dataDxfId="261"/>
    <tableColumn id="3" xr3:uid="{745CEAC9-9C7C-45FB-91DF-89933559AF3B}" uniqueName="3" name="Building 2 (kWh)" queryTableFieldId="3" dataDxfId="260"/>
    <tableColumn id="4" xr3:uid="{EDFF7EE7-3B9E-489C-BB2E-6301943B32D5}" uniqueName="4" name="Building 3 (kWh)" queryTableFieldId="4" dataDxfId="259"/>
    <tableColumn id="5" xr3:uid="{A27036FA-34C3-4D96-AF56-2B31BF9C9585}" uniqueName="5" name="Community" queryTableFieldId="5" dataDxfId="258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7C773B5-A5D0-4FF5-BA69-7CE5E76C1D48}" name="final_electricity__16151527" displayName="final_electricity__16151527" ref="T2:X27" tableType="queryTable" totalsRowShown="0" headerRowDxfId="257" dataDxfId="256">
  <autoFilter ref="T2:X27" xr:uid="{C7C773B5-A5D0-4FF5-BA69-7CE5E76C1D48}"/>
  <tableColumns count="5">
    <tableColumn id="1" xr3:uid="{751B595A-EE3B-4E4A-A236-EECB6BDAACA3}" uniqueName="1" name="Hour" queryTableFieldId="1" dataDxfId="255"/>
    <tableColumn id="2" xr3:uid="{D7F50A54-D74A-46F3-9704-8C7028E816D2}" uniqueName="2" name=" Building 1 (kWh)" queryTableFieldId="2" dataDxfId="254"/>
    <tableColumn id="3" xr3:uid="{A93FE569-5047-4162-871C-0AEC9CEEBF44}" uniqueName="3" name="Building 2 (kWh)" queryTableFieldId="3" dataDxfId="253"/>
    <tableColumn id="4" xr3:uid="{1E69EC5B-57C1-40C0-BB18-AD275A369473}" uniqueName="4" name="Building 3 (kWh)" queryTableFieldId="4" dataDxfId="252"/>
    <tableColumn id="5" xr3:uid="{122F57E4-9164-4AEF-B76D-A968DABB0328}" uniqueName="5" name="Community" queryTableFieldId="5" dataDxfId="251">
      <calculatedColumnFormula>final_electricity__16192426[[#This Row],[Community]]*tariffs[[#This Row],[Building 2 (buy)]]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644880-5BA9-44D6-A01A-D0356AB63C4C}" name="final_electricity__16151523" displayName="final_electricity__16151523" ref="Z2:AD27" tableType="queryTable" totalsRowShown="0" headerRowDxfId="250" dataDxfId="249">
  <autoFilter ref="Z2:AD27" xr:uid="{BC644880-5BA9-44D6-A01A-D0356AB63C4C}"/>
  <tableColumns count="5">
    <tableColumn id="1" xr3:uid="{A1CCC508-6C51-454E-9412-34FE84249162}" uniqueName="1" name="Hour" queryTableFieldId="1" dataDxfId="248"/>
    <tableColumn id="2" xr3:uid="{62362D2B-2B41-4215-9425-64B10C204990}" uniqueName="2" name=" Building 1 (kWh)" queryTableFieldId="2" dataDxfId="247"/>
    <tableColumn id="3" xr3:uid="{8A5A08DB-2385-4D47-B6D4-AD4F1920B40B}" uniqueName="3" name="Building 2 (kWh)" queryTableFieldId="3" dataDxfId="246"/>
    <tableColumn id="4" xr3:uid="{C28CFCAB-7503-4281-B1BD-150222C63419}" uniqueName="4" name="Building 3 (kWh)" queryTableFieldId="4" dataDxfId="245"/>
    <tableColumn id="5" xr3:uid="{6E1FB29A-CDBF-49ED-BF0F-4DE3188602B3}" uniqueName="5" name="Community" queryTableFieldId="5" dataDxfId="244">
      <calculatedColumnFormula>final_electricity__16151523[[#This Row],[ Building 1 (kWh)]]+final_electricity__16151523[[#This Row],[Building 2 (kWh)]]+final_electricity__16151523[[#This Row],[Building 3 (kWh)]]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8243DC4-80F5-4C07-8EDD-F0C54950D81C}" name="final_electricity__1619242630" displayName="final_electricity__1619242630" ref="A2:E27" tableType="queryTable" totalsRowShown="0" headerRowDxfId="243" dataDxfId="242">
  <autoFilter ref="A2:E27" xr:uid="{F8243DC4-80F5-4C07-8EDD-F0C54950D81C}"/>
  <tableColumns count="5">
    <tableColumn id="1" xr3:uid="{5D3AE4FF-E994-4006-AB95-88CEE30160B3}" uniqueName="1" name="Hour" queryTableFieldId="1" dataDxfId="241"/>
    <tableColumn id="2" xr3:uid="{0BD37E27-5579-4BE7-8D99-1C69B30E50E1}" uniqueName="2" name=" Building 1 (kWh)" queryTableFieldId="2" dataDxfId="240"/>
    <tableColumn id="3" xr3:uid="{0DDF255B-4F46-4308-A56D-411D5BF0C5DA}" uniqueName="3" name="Building 2 (kWh)" queryTableFieldId="3" dataDxfId="239"/>
    <tableColumn id="4" xr3:uid="{6D233019-6716-4901-998A-5D58455BDE92}" uniqueName="4" name="Building 3 (kWh)" queryTableFieldId="4" dataDxfId="238"/>
    <tableColumn id="5" xr3:uid="{6F2C58A5-5DEF-44D9-8033-CBF10B7283E4}" uniqueName="5" name="Community" queryTableFieldId="5" dataDxfId="237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CDFD7CE-BF2A-4D10-A00E-63F70702486D}" name="final_electricity__161924263031" displayName="final_electricity__161924263031" ref="G2:K27" tableType="queryTable" totalsRowShown="0" headerRowDxfId="236" dataDxfId="235">
  <autoFilter ref="G2:K27" xr:uid="{8CDFD7CE-BF2A-4D10-A00E-63F70702486D}"/>
  <tableColumns count="5">
    <tableColumn id="1" xr3:uid="{96366CAE-2BAF-45EE-A458-F8C39BD3A164}" uniqueName="1" name="Hour" queryTableFieldId="1" dataDxfId="234"/>
    <tableColumn id="2" xr3:uid="{449DBD2D-F59B-4B1E-9163-33112E5A5BCF}" uniqueName="2" name=" Building 1 (kWh)" queryTableFieldId="2" dataDxfId="233"/>
    <tableColumn id="3" xr3:uid="{16E45F9B-B536-4FFF-A1CE-4BE877F68EBE}" uniqueName="3" name="Building 2 (kWh)" queryTableFieldId="3" dataDxfId="232"/>
    <tableColumn id="4" xr3:uid="{F778B7EE-21A4-46D0-828E-0D6A17C3F481}" uniqueName="4" name="Building 3 (kWh)" queryTableFieldId="4" dataDxfId="231"/>
    <tableColumn id="5" xr3:uid="{1CD1FF67-48B9-4DF6-8230-B1B085B44D73}" uniqueName="5" name="Community" queryTableFieldId="5" dataDxfId="230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1E2F58B-A14A-4FD5-9B9C-49B28576E549}" name="final_electricity__16192426303132" displayName="final_electricity__16192426303132" ref="M2:P27" tableType="queryTable" totalsRowShown="0" headerRowDxfId="229" dataDxfId="228">
  <autoFilter ref="M2:P27" xr:uid="{F1E2F58B-A14A-4FD5-9B9C-49B28576E549}"/>
  <tableColumns count="4">
    <tableColumn id="1" xr3:uid="{80823616-37B7-42A4-BC55-7C12CD92A9B8}" uniqueName="1" name="Hour" queryTableFieldId="1" dataDxfId="227"/>
    <tableColumn id="2" xr3:uid="{9E2BDD1C-116B-4A79-AC91-888DC9576928}" uniqueName="2" name=" Building 1 (kWh)" queryTableFieldId="2" dataDxfId="226"/>
    <tableColumn id="3" xr3:uid="{8F243BE4-3BBA-4249-B525-084CD10C2F9A}" uniqueName="3" name="Building 2 (kWh)" queryTableFieldId="3" dataDxfId="225"/>
    <tableColumn id="4" xr3:uid="{E47E5388-AA61-4BB2-93F6-48B7F82529AE}" uniqueName="4" name="Building 3 (kWh)" queryTableFieldId="4" dataDxfId="224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98EB0F3-7F40-4F51-B060-FE6EC65745F1}" name="final_electricity__1619242630313233" displayName="final_electricity__1619242630313233" ref="R2:U27" tableType="queryTable" totalsRowShown="0" headerRowDxfId="223" dataDxfId="222">
  <autoFilter ref="R2:U27" xr:uid="{398EB0F3-7F40-4F51-B060-FE6EC65745F1}"/>
  <tableColumns count="4">
    <tableColumn id="1" xr3:uid="{2B890616-FD2E-45CA-8C39-20990986CA68}" uniqueName="1" name="Hour" queryTableFieldId="1" dataDxfId="221"/>
    <tableColumn id="2" xr3:uid="{19F147F3-4DCA-44A4-87F9-ECFFCD8ACDC8}" uniqueName="2" name=" Building 1 (kWh)" queryTableFieldId="2" dataDxfId="220"/>
    <tableColumn id="3" xr3:uid="{B2D77DF0-BFA0-4466-81DE-7D1961F7DA35}" uniqueName="3" name="Building 2 (kWh)" queryTableFieldId="3" dataDxfId="219"/>
    <tableColumn id="4" xr3:uid="{C3EE8F8F-4F64-453D-8538-F2C2B4F8489A}" uniqueName="4" name="Building 3 (kWh)" queryTableFieldId="4" dataDxfId="218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377CD58-411A-424F-A6D2-FD7E35B2BA34}" name="final_electricity__161924263031323334" displayName="final_electricity__161924263031323334" ref="W2:Z27" tableType="queryTable" totalsRowShown="0" headerRowDxfId="217" dataDxfId="216">
  <autoFilter ref="W2:Z27" xr:uid="{3377CD58-411A-424F-A6D2-FD7E35B2BA34}"/>
  <tableColumns count="4">
    <tableColumn id="1" xr3:uid="{5A6C2D63-A6F3-4535-A43B-0C9FD6E3ED62}" uniqueName="1" name="Hour" queryTableFieldId="1" dataDxfId="215"/>
    <tableColumn id="2" xr3:uid="{A267DAB4-1174-45CA-8ABE-3F7F9630D658}" uniqueName="2" name=" Building 1 (kWh)" queryTableFieldId="2" dataDxfId="214"/>
    <tableColumn id="3" xr3:uid="{9B0C8BC5-ED83-4F29-A710-3476037EADF7}" uniqueName="3" name="Building 2 (kWh)" queryTableFieldId="3" dataDxfId="213"/>
    <tableColumn id="4" xr3:uid="{AF90A72D-7646-4130-A3BF-C5E69274C3B4}" uniqueName="4" name="Building 3 (kWh)" queryTableFieldId="4" dataDxfId="212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55BCA764-9ADD-46E6-A99B-7A451220EA83}" name="final_electricity__16192426303132333435" displayName="final_electricity__16192426303132333435" ref="AB2:AF27" tableType="queryTable" totalsRowShown="0" headerRowDxfId="211" dataDxfId="210">
  <autoFilter ref="AB2:AF27" xr:uid="{55BCA764-9ADD-46E6-A99B-7A451220EA83}"/>
  <tableColumns count="5">
    <tableColumn id="1" xr3:uid="{967D8073-F9DF-4E47-B367-226686159A5B}" uniqueName="1" name="Hour" queryTableFieldId="1" dataDxfId="209"/>
    <tableColumn id="2" xr3:uid="{1A51A0EF-81C5-4AEA-A961-56427BF055E6}" uniqueName="2" name=" Building 1 (kWh)" queryTableFieldId="2" dataDxfId="208"/>
    <tableColumn id="3" xr3:uid="{806463CD-EEDA-42D8-B6D1-43E0896B776E}" uniqueName="3" name="Building 2 (kWh)" queryTableFieldId="3" dataDxfId="207"/>
    <tableColumn id="4" xr3:uid="{29E34CB9-0701-4CA2-9A63-918535521CEC}" uniqueName="4" name="Building 3 (kWh)" queryTableFieldId="4" dataDxfId="206"/>
    <tableColumn id="5" xr3:uid="{DFEC3810-A3E3-42C6-8170-854A72D543AC}" uniqueName="5" name="Community" queryTableFieldId="5" dataDxfId="205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104237D-F1A9-4ADC-B6E2-0214208E2DDE}" name="final_electricity__1619242630313233343536" displayName="final_electricity__1619242630313233343536" ref="AH2:AK27" tableType="queryTable" totalsRowShown="0" headerRowDxfId="204" dataDxfId="203">
  <autoFilter ref="AH2:AK27" xr:uid="{9104237D-F1A9-4ADC-B6E2-0214208E2DDE}"/>
  <tableColumns count="4">
    <tableColumn id="1" xr3:uid="{6966C37D-4D72-4B43-9C44-ABEA8570B903}" uniqueName="1" name="Hour" queryTableFieldId="1" dataDxfId="202"/>
    <tableColumn id="2" xr3:uid="{A18DFA12-E5A1-418F-9492-84EB01041965}" uniqueName="2" name=" Building 1 (kWh)" queryTableFieldId="2" dataDxfId="201"/>
    <tableColumn id="3" xr3:uid="{829A0AF8-0A72-4B0E-BD55-CCD09B22D06B}" uniqueName="3" name="Building 2 (kWh)" queryTableFieldId="3" dataDxfId="200"/>
    <tableColumn id="4" xr3:uid="{8D3AF2C5-E321-4BCC-A5B1-A56EE6DE38B7}" uniqueName="4" name="Building 3 (kWh)" queryTableFieldId="4" dataDxfId="199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92B6A116-3B64-4780-9DA7-3A772B4D3C59}" name="final_electricity__161924263031323334353637" displayName="final_electricity__161924263031323334353637" ref="AM2:AP27" tableType="queryTable" totalsRowShown="0" headerRowDxfId="198" dataDxfId="197">
  <autoFilter ref="AM2:AP27" xr:uid="{92B6A116-3B64-4780-9DA7-3A772B4D3C59}"/>
  <tableColumns count="4">
    <tableColumn id="1" xr3:uid="{5E9D8835-9E98-4E05-97EE-769501CC55F4}" uniqueName="1" name="Hour" queryTableFieldId="1" dataDxfId="196"/>
    <tableColumn id="2" xr3:uid="{AEE0DB6D-E880-4C6D-A2E8-C3C143B49477}" uniqueName="2" name=" Building 1 (kWh)" queryTableFieldId="2" dataDxfId="195"/>
    <tableColumn id="3" xr3:uid="{D44D8E1D-97CB-4C8C-94AD-2A08D7BC4553}" uniqueName="3" name="Building 2 (kWh)" queryTableFieldId="3" dataDxfId="194"/>
    <tableColumn id="4" xr3:uid="{A13EC8FC-350C-4F03-BD09-C9D5D0449E97}" uniqueName="4" name="Building 3 (kWh)" queryTableFieldId="4" dataDxfId="193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968C8139-ADDA-4DAB-9D6A-02DDFBE54F00}" name="final_electricity__1619242630313245" displayName="final_electricity__1619242630313245" ref="P31:Y56" tableType="queryTable" totalsRowShown="0" headerRowDxfId="192" dataDxfId="191">
  <autoFilter ref="P31:Y56" xr:uid="{968C8139-ADDA-4DAB-9D6A-02DDFBE54F00}"/>
  <tableColumns count="10">
    <tableColumn id="1" xr3:uid="{CBB0CA93-86A8-4140-9D15-9B639F7783E8}" uniqueName="1" name="Hour" queryTableFieldId="1" dataDxfId="190"/>
    <tableColumn id="2" xr3:uid="{8875BFED-8EB5-4007-9324-1F22AE296A43}" uniqueName="2" name=" Building 1 (kWh)" queryTableFieldId="2" dataDxfId="189"/>
    <tableColumn id="3" xr3:uid="{C5143A29-7B42-42D1-ADA1-E2ACD442D0A1}" uniqueName="3" name="Building 2 (kWh)" queryTableFieldId="3" dataDxfId="188"/>
    <tableColumn id="4" xr3:uid="{2C48581D-8074-4577-939B-62A7D32FEAA0}" uniqueName="4" name="Building 3 (kWh)" queryTableFieldId="4" dataDxfId="187"/>
    <tableColumn id="5" xr3:uid="{027C2884-2067-4F3B-92DB-3BBA5F7829A2}" uniqueName="5" name="Community" queryTableFieldId="5" dataDxfId="186">
      <calculatedColumnFormula>final_electricity__16[[#This Row],[Community]]</calculatedColumnFormula>
    </tableColumn>
    <tableColumn id="6" xr3:uid="{CBEE9DC3-9D87-4F8F-95D6-7F1B4DAB1EF7}" uniqueName="6" name="Energy Sold" queryTableFieldId="6" dataDxfId="185">
      <calculatedColumnFormula>IF(SUM(Q32:S32) &lt; 0, SUM(Q32:S32), 0)</calculatedColumnFormula>
    </tableColumn>
    <tableColumn id="7" xr3:uid="{7FFF2C94-09A1-4CB8-B426-00EEEB80E479}" uniqueName="7" name="Energy Grid" queryTableFieldId="7" dataDxfId="184"/>
    <tableColumn id="11" xr3:uid="{CBE1FA1B-BCFB-469C-A36E-8BD586FAC302}" uniqueName="11" name="CO2 Emissions (kgCO2e)" queryTableFieldId="11" dataDxfId="183">
      <calculatedColumnFormula>I3-O3</calculatedColumnFormula>
    </tableColumn>
    <tableColumn id="13" xr3:uid="{28341C68-E605-4919-94C9-8834BF185BF1}" uniqueName="13" name="Costs Grid (€/day)" queryTableFieldId="13" dataDxfId="182">
      <calculatedColumnFormula>K3-Q3</calculatedColumnFormula>
    </tableColumn>
    <tableColumn id="14" xr3:uid="{A61B4806-192E-4349-A665-888505B372DF}" uniqueName="14" name="Sales Grid" queryTableFieldId="14" dataDxfId="181">
      <calculatedColumnFormula>SUM(final_electricity__1619242630313245[[#This Row],[ Building 1 (kWh)]]:final_electricity__1619242630313245[[#This Row],[Building 3 (kWh)]])</calculatedColumnFormula>
    </tableColumn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448F9C9-B390-416F-9BFE-FE3AF1C7D7DD}" name="final_electricity__161924263039" displayName="final_electricity__161924263039" ref="A2:E27" tableType="queryTable" totalsRowShown="0" headerRowDxfId="180" dataDxfId="179">
  <autoFilter ref="A2:E27" xr:uid="{4448F9C9-B390-416F-9BFE-FE3AF1C7D7DD}"/>
  <tableColumns count="5">
    <tableColumn id="1" xr3:uid="{D9A778F1-2C90-4DA9-8D00-3425084A2D08}" uniqueName="1" name="Hour" queryTableFieldId="1" dataDxfId="178"/>
    <tableColumn id="2" xr3:uid="{2DD9E81A-AE52-48C9-920A-8BD9C0C2CEAB}" uniqueName="2" name=" Building 1 (kWh)" queryTableFieldId="2" dataDxfId="177"/>
    <tableColumn id="3" xr3:uid="{980DDC9B-679D-4EDF-BED5-7704B294C33D}" uniqueName="3" name="Building 2 (kWh)" queryTableFieldId="3" dataDxfId="176"/>
    <tableColumn id="4" xr3:uid="{6BEFF354-C0DF-4124-A06F-6660835CAA9F}" uniqueName="4" name="Building 3 (kWh)" queryTableFieldId="4" dataDxfId="175"/>
    <tableColumn id="5" xr3:uid="{DC8ADD21-B2F0-478B-A157-97B64234B395}" uniqueName="5" name="Community" queryTableFieldId="5" dataDxfId="174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745ABF9-7085-48D4-BCF2-66FE45AAFEBB}" name="final_electricity__16192426303140" displayName="final_electricity__16192426303140" ref="G2:K27" tableType="queryTable" totalsRowShown="0" headerRowDxfId="173" dataDxfId="172">
  <autoFilter ref="G2:K27" xr:uid="{7745ABF9-7085-48D4-BCF2-66FE45AAFEBB}"/>
  <tableColumns count="5">
    <tableColumn id="1" xr3:uid="{817CCCD6-72B5-49C1-84D5-83A369AEBB5D}" uniqueName="1" name="Hour" queryTableFieldId="1" dataDxfId="171"/>
    <tableColumn id="2" xr3:uid="{7EB3CC5B-F056-4777-A9D4-F18C2AA73418}" uniqueName="2" name=" Building 1 (kWh)" queryTableFieldId="2" dataDxfId="170"/>
    <tableColumn id="3" xr3:uid="{6996DA08-4F43-435E-99C5-EEEC7CC3738C}" uniqueName="3" name="Building 2 (kWh)" queryTableFieldId="3" dataDxfId="169"/>
    <tableColumn id="4" xr3:uid="{BF397AFF-55F8-491D-8C68-8ECE94F0518B}" uniqueName="4" name="Building 3 (kWh)" queryTableFieldId="4" dataDxfId="168"/>
    <tableColumn id="5" xr3:uid="{64451E38-CC01-4321-8BD5-65DEE8B288C2}" uniqueName="5" name="Community" queryTableFieldId="5" dataDxfId="167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BF5DECDF-D6F3-4A52-AC2B-1FBA5750B221}" name="final_electricity__16192426303941" displayName="final_electricity__16192426303941" ref="M2:O27" tableType="queryTable" totalsRowShown="0" headerRowDxfId="166" dataDxfId="165">
  <autoFilter ref="M2:O27" xr:uid="{BF5DECDF-D6F3-4A52-AC2B-1FBA5750B221}"/>
  <tableColumns count="3">
    <tableColumn id="1" xr3:uid="{14FBE4BE-0438-4C4C-B36D-4CC0FF0DD8CC}" uniqueName="1" name="Hour" queryTableFieldId="1" dataDxfId="164"/>
    <tableColumn id="2" xr3:uid="{33CBBFB8-CE4B-4076-AA34-54E001A9B790}" uniqueName="2" name="Energy received (kWh)" queryTableFieldId="2" dataDxfId="163"/>
    <tableColumn id="3" xr3:uid="{3EC685AF-9BF2-45CF-86B0-E5E3EC5151D5}" uniqueName="3" name="Capacity" queryTableFieldId="3" dataDxfId="162" dataCellStyle="Percent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34AF9DD-E5B7-413C-AA5C-1AE6B8C699F6}" name="final_electricity__161924263031329" displayName="final_electricity__161924263031329" ref="Q2:T27" tableType="queryTable" totalsRowShown="0" headerRowDxfId="161" dataDxfId="160">
  <autoFilter ref="Q2:T27" xr:uid="{134AF9DD-E5B7-413C-AA5C-1AE6B8C699F6}"/>
  <tableColumns count="4">
    <tableColumn id="1" xr3:uid="{A4036B1F-4A19-4DD2-BF76-E247329BFF70}" uniqueName="1" name="Hour" queryTableFieldId="1" dataDxfId="159"/>
    <tableColumn id="2" xr3:uid="{FC15425F-3A92-4354-B544-5381DDEF346D}" uniqueName="2" name=" Building 1 (kWh)" queryTableFieldId="2" dataDxfId="158"/>
    <tableColumn id="3" xr3:uid="{390D0D72-38FC-47EC-8CB4-EFDC2A662C55}" uniqueName="3" name=" Building 1 (kWh)2" queryTableFieldId="6" dataDxfId="157">
      <calculatedColumnFormula>IF(C3 &gt; I3, C3-I3,0)</calculatedColumnFormula>
    </tableColumn>
    <tableColumn id="4" xr3:uid="{1C7055B8-4C51-4EFE-B701-939991E45BE5}" uniqueName="4" name=" Building 1 (kWh)3" queryTableFieldId="7" dataDxfId="156">
      <calculatedColumnFormula>IF(D3 &gt; J3, D3-J3,0)</calculatedColumnFormula>
    </tableColumn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581A4F-C4D3-4086-ABAB-7D9B845B9A4C}" name="final_electricity__161924263031323311" displayName="final_electricity__161924263031323311" ref="V2:Y27" tableType="queryTable" totalsRowShown="0" headerRowDxfId="155" dataDxfId="154">
  <autoFilter ref="V2:Y27" xr:uid="{AB581A4F-C4D3-4086-ABAB-7D9B845B9A4C}"/>
  <tableColumns count="4">
    <tableColumn id="1" xr3:uid="{FDED493F-721C-4F9A-AB6C-4AF06B9C182B}" uniqueName="1" name="Hour" queryTableFieldId="1" dataDxfId="153"/>
    <tableColumn id="2" xr3:uid="{993243DE-A1D3-4213-B851-E6F38ADCFAD1}" uniqueName="2" name=" Building 1 (kWh)" queryTableFieldId="2" dataDxfId="152"/>
    <tableColumn id="3" xr3:uid="{D127CC24-ACD2-485F-A06E-CE2E11D84556}" uniqueName="3" name="Building 2 (kWh)" queryTableFieldId="3" dataDxfId="151"/>
    <tableColumn id="4" xr3:uid="{B35724DB-DB4F-49CE-AAB5-C9E6404771D3}" uniqueName="4" name="Building 3 (kWh)" queryTableFieldId="4" dataDxfId="150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E086EDC-D621-4F85-A11E-BA0DBAA7FB70}" name="final_electricity__16192426303132333412" displayName="final_electricity__16192426303132333412" ref="AA2:AD27" tableType="queryTable" totalsRowShown="0" headerRowDxfId="149" dataDxfId="148">
  <autoFilter ref="AA2:AD27" xr:uid="{4E086EDC-D621-4F85-A11E-BA0DBAA7FB70}"/>
  <tableColumns count="4">
    <tableColumn id="1" xr3:uid="{85921199-9BC5-496A-8164-B9A76E6630A6}" uniqueName="1" name="Hour" queryTableFieldId="1" dataDxfId="147"/>
    <tableColumn id="2" xr3:uid="{A24B1895-D0D5-4AFD-A3D8-D0BC286E3432}" uniqueName="2" name=" Building 1 (kWh)" queryTableFieldId="2" dataDxfId="146"/>
    <tableColumn id="3" xr3:uid="{02A97D13-4045-49DD-BE5D-069965E61027}" uniqueName="3" name="Building 2 (kWh)" queryTableFieldId="3" dataDxfId="145"/>
    <tableColumn id="4" xr3:uid="{819A364B-7CD0-4E71-BDE0-DFFFF56C001A}" uniqueName="4" name="Building 3 (kWh)" queryTableFieldId="4" dataDxfId="144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3740B-2B5F-4B84-8F3A-2A7DE49337C8}" name="final_electricity__1619242630313233343520" displayName="final_electricity__1619242630313233343520" ref="AF2:AI27" tableType="queryTable" totalsRowShown="0" headerRowDxfId="143" dataDxfId="142">
  <autoFilter ref="AF2:AI27" xr:uid="{7AB3740B-2B5F-4B84-8F3A-2A7DE49337C8}"/>
  <tableColumns count="4">
    <tableColumn id="1" xr3:uid="{CE2EAA82-5262-4D2D-BA97-8B9DDCF1FDCF}" uniqueName="1" name="Hour" queryTableFieldId="1" dataDxfId="141"/>
    <tableColumn id="2" xr3:uid="{BF67D4BC-A853-4CC5-A5BE-1CA2342AFB9E}" uniqueName="2" name=" Building 1 (kWh)" queryTableFieldId="2" dataDxfId="140"/>
    <tableColumn id="3" xr3:uid="{23CA60D7-F40B-478E-B5D9-F2588D35806B}" uniqueName="3" name="Building 2 (kWh)" queryTableFieldId="3" dataDxfId="139"/>
    <tableColumn id="4" xr3:uid="{A9DAC02C-3286-4C10-94C2-E698591EF08A}" uniqueName="4" name="Building 3 (kWh)" queryTableFieldId="4" dataDxfId="138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77D18EC-B566-464F-BD9E-B9A7BDD0F553}" name="final_electricity__161924263031323334353623" displayName="final_electricity__161924263031323334353623" ref="AN2:AQ27" tableType="queryTable" totalsRowShown="0" headerRowDxfId="137" dataDxfId="136">
  <autoFilter ref="AN2:AQ27" xr:uid="{F77D18EC-B566-464F-BD9E-B9A7BDD0F553}"/>
  <tableColumns count="4">
    <tableColumn id="1" xr3:uid="{B4B2208E-2A3D-4AA8-A7A0-EED4E65DDD82}" uniqueName="1" name="Hour" queryTableFieldId="1" dataDxfId="135"/>
    <tableColumn id="2" xr3:uid="{D34D16A2-37DD-45F2-9F25-06878228877B}" uniqueName="2" name=" Building 1 (kWh)" queryTableFieldId="2" dataDxfId="134"/>
    <tableColumn id="3" xr3:uid="{F2496D83-46C8-4800-848F-8081CE4DFB1F}" uniqueName="3" name="Building 2 (kWh)" queryTableFieldId="3" dataDxfId="133"/>
    <tableColumn id="4" xr3:uid="{EE3DD75B-48E4-402F-B19D-51CEAAAF31BF}" uniqueName="4" name="Building 3 (kWh)" queryTableFieldId="4" dataDxfId="132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CAEF994-2B9F-4922-8ADF-8AB102E4459B}" name="final_electricity__16192426303132333435363742" displayName="final_electricity__16192426303132333435363742" ref="AS2:AV27" tableType="queryTable" totalsRowShown="0" headerRowDxfId="131" dataDxfId="130">
  <autoFilter ref="AS2:AV27" xr:uid="{9CAEF994-2B9F-4922-8ADF-8AB102E4459B}"/>
  <tableColumns count="4">
    <tableColumn id="1" xr3:uid="{B8EC397A-85DF-4538-A280-743E5A5C44BA}" uniqueName="1" name="Hour" queryTableFieldId="1" dataDxfId="129"/>
    <tableColumn id="2" xr3:uid="{224053E8-C683-4882-8FAE-4E8A1395BF65}" uniqueName="2" name=" Building 1 (kWh)" queryTableFieldId="2" dataDxfId="128"/>
    <tableColumn id="3" xr3:uid="{ECE3D422-F92C-4882-B4E1-7805DB0F08EA}" uniqueName="3" name="Building 2 (kWh)" queryTableFieldId="3" dataDxfId="127"/>
    <tableColumn id="4" xr3:uid="{1A3F7B01-6A84-4AB2-A18A-E637D4F56EF4}" uniqueName="4" name="Building 3 (kWh)" queryTableFieldId="4" dataDxfId="126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FC5E7E94-BC64-4EE8-9214-B1086ADF5336}" name="final_electricity__1619242630394143" displayName="final_electricity__1619242630394143" ref="AK2:AL27" tableType="queryTable" totalsRowShown="0" headerRowDxfId="125" dataDxfId="124">
  <autoFilter ref="AK2:AL27" xr:uid="{FC5E7E94-BC64-4EE8-9214-B1086ADF5336}"/>
  <tableColumns count="2">
    <tableColumn id="1" xr3:uid="{B3EC2D68-C466-4445-AD06-0DDBCC596803}" uniqueName="1" name="Hour" queryTableFieldId="1" dataDxfId="123"/>
    <tableColumn id="2" xr3:uid="{1803B4BE-0382-4FA1-B53C-C5EE160F049F}" uniqueName="2" name="Cost" queryTableFieldId="2" dataDxfId="122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4C7C986-95AE-4948-9320-D7A194146129}" name="final_electricity__1619242630314046" displayName="final_electricity__1619242630314046" ref="O31:S57" tableType="queryTable" totalsRowShown="0" headerRowDxfId="121" dataDxfId="120">
  <autoFilter ref="O31:S57" xr:uid="{B4C7C986-95AE-4948-9320-D7A194146129}"/>
  <tableColumns count="5">
    <tableColumn id="1" xr3:uid="{E406E1F7-FA49-4E09-B28E-00CB1E066E69}" uniqueName="1" name="Hour" queryTableFieldId="1" dataDxfId="119"/>
    <tableColumn id="2" xr3:uid="{39C5EC3E-C591-4552-9589-12086A4E6FAB}" uniqueName="2" name="SOC" queryTableFieldId="2" dataDxfId="118"/>
    <tableColumn id="3" xr3:uid="{287ED178-1209-4F0A-B041-2235083E06E1}" uniqueName="3" name="CHARGE" queryTableFieldId="3" dataDxfId="117"/>
    <tableColumn id="4" xr3:uid="{384C4280-DA94-415A-80E0-FCC102F820E2}" uniqueName="4" name="DISCHARGE" queryTableFieldId="4" dataDxfId="116"/>
    <tableColumn id="5" xr3:uid="{182E353C-43FD-44A8-A4E8-6A8F6D05165F}" uniqueName="5" name="Grid" queryTableFieldId="5" dataDxfId="115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CF63D67D-1CD4-4055-B20B-619B92EA34CA}" name="final_electricity__1619242630314050" displayName="final_electricity__1619242630314050" ref="U31:X56" tableType="queryTable" totalsRowShown="0" headerRowDxfId="114" dataDxfId="113">
  <autoFilter ref="U31:X56" xr:uid="{CF63D67D-1CD4-4055-B20B-619B92EA34CA}"/>
  <tableColumns count="4">
    <tableColumn id="1" xr3:uid="{FA4F3F7B-0D1B-4E7E-BE54-F5D7DC625DE0}" uniqueName="1" name="Hour" queryTableFieldId="1" dataDxfId="112"/>
    <tableColumn id="2" xr3:uid="{5422C2A8-531E-4D28-BDD3-CAE7E75A43EE}" uniqueName="2" name=" Building 1 (kWh)" queryTableFieldId="2" dataDxfId="111"/>
    <tableColumn id="3" xr3:uid="{55DBC728-CDF3-4CBB-878F-2FD9D34D59D1}" uniqueName="3" name="Building 2 (kWh)" queryTableFieldId="3" dataDxfId="110"/>
    <tableColumn id="4" xr3:uid="{ABD36905-1254-4C0C-994C-ACC7F1A72295}" uniqueName="4" name="Building 3 (kWh)" queryTableFieldId="4" dataDxfId="109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D38E6A2-6698-4B2C-BDDE-6E2B8EE5DD3D}" name="final_electricity__161924263031324547" displayName="final_electricity__161924263031324547" ref="Z31:AH56" tableType="queryTable" totalsRowShown="0" headerRowDxfId="108" dataDxfId="107">
  <autoFilter ref="Z31:AH56" xr:uid="{5D38E6A2-6698-4B2C-BDDE-6E2B8EE5DD3D}"/>
  <tableColumns count="9">
    <tableColumn id="1" xr3:uid="{3F4AD30D-7813-4CD8-966F-A25DA2206F39}" uniqueName="1" name="Hour" queryTableFieldId="1" dataDxfId="106"/>
    <tableColumn id="2" xr3:uid="{C9AB54E8-E202-49FC-9059-EFB7BFE5A102}" uniqueName="2" name=" Building 1 (kWh)" queryTableFieldId="2" dataDxfId="105"/>
    <tableColumn id="3" xr3:uid="{FD54BA50-DD22-4A88-AB6D-04C59B96DB5A}" uniqueName="3" name="Building 2 (kWh)" queryTableFieldId="3" dataDxfId="104"/>
    <tableColumn id="4" xr3:uid="{E8750D9F-130D-46E9-9A55-B9BFF04C853A}" uniqueName="4" name="Building 3 (kWh)" queryTableFieldId="4" dataDxfId="103"/>
    <tableColumn id="5" xr3:uid="{19F4D129-4C4A-462D-8436-0CA1D536A68D}" uniqueName="5" name="Community" queryTableFieldId="5" dataDxfId="102">
      <calculatedColumnFormula>final_electricity__16[[#This Row],[Community]]</calculatedColumnFormula>
    </tableColumn>
    <tableColumn id="6" xr3:uid="{F7194BE9-6EE5-4A54-AAC5-7C887F0D275D}" uniqueName="6" name="Energy Sold" queryTableFieldId="6" dataDxfId="101">
      <calculatedColumnFormula>IF(SUM(AA32:AC32)-N3 &lt;-2, 2-(SUM(AA32:AC32)-N3), 0)</calculatedColumnFormula>
    </tableColumn>
    <tableColumn id="7" xr3:uid="{96A24BD2-7DDD-426F-AE5A-56EDC36DA85A}" uniqueName="7" name="Energy Grid" queryTableFieldId="7" dataDxfId="100"/>
    <tableColumn id="11" xr3:uid="{01FB537B-69D9-4D3D-8356-BB4B2998CBCD}" uniqueName="11" name="CO2 Emissions (kgCO2e)" queryTableFieldId="11" dataDxfId="99">
      <calculatedColumnFormula>T3-Z3</calculatedColumnFormula>
    </tableColumn>
    <tableColumn id="14" xr3:uid="{05E5E0E1-1E7E-4699-AD9B-B04219924EEA}" uniqueName="14" name="Sales Grid" queryTableFieldId="14" dataDxfId="98">
      <calculatedColumnFormula>SUM(final_electricity__161924263031324547[[#This Row],[ Building 1 (kWh)]]:final_electricity__161924263031324547[[#This Row],[Building 3 (kWh)]])</calculatedColumnFormula>
    </tableColumn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B801A6F-E40C-48F9-892F-5A6F59B73AB6}" name="final_electricity__162944" displayName="final_electricity__162944" ref="A2:E27" tableType="queryTable" totalsRowShown="0" headerRowDxfId="97" dataDxfId="96">
  <autoFilter ref="A2:E27" xr:uid="{9B801A6F-E40C-48F9-892F-5A6F59B73AB6}"/>
  <tableColumns count="5">
    <tableColumn id="1" xr3:uid="{7F7441C7-CCB1-49C5-B401-862D3CF4B358}" uniqueName="1" name="Hour" queryTableFieldId="1" dataDxfId="95"/>
    <tableColumn id="2" xr3:uid="{E4A0B30C-D0E0-4BFA-AA7B-ABE5706DD60D}" uniqueName="2" name=" B1 (kWh)" queryTableFieldId="2" dataDxfId="94"/>
    <tableColumn id="3" xr3:uid="{75EE5741-CA05-4832-88E2-2F0440C915FA}" uniqueName="3" name="B2 (kWh)" queryTableFieldId="3" dataDxfId="93"/>
    <tableColumn id="4" xr3:uid="{D9F11539-01B0-445E-9ECE-0B591D3C190E}" uniqueName="4" name="B3 (kWh)" queryTableFieldId="4" dataDxfId="92"/>
    <tableColumn id="5" xr3:uid="{9144FBD5-AD00-4CCD-953D-0337218E6A99}" uniqueName="5" name="Community" queryTableFieldId="5" dataDxfId="91">
      <calculatedColumnFormula>SUM(B3:D3)</calculatedColumnFormula>
    </tableColumn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D54CEAC9-6183-4B2F-9898-1340B686A189}" name="final_electricity__16192426303148" displayName="final_electricity__16192426303148" ref="G2:K27" tableType="queryTable" totalsRowShown="0" headerRowDxfId="90" dataDxfId="89">
  <autoFilter ref="G2:K27" xr:uid="{D54CEAC9-6183-4B2F-9898-1340B686A189}"/>
  <tableColumns count="5">
    <tableColumn id="1" xr3:uid="{4A94A05F-6C0C-4536-903A-953D031DF578}" uniqueName="1" name="Hour" queryTableFieldId="1" dataDxfId="88"/>
    <tableColumn id="2" xr3:uid="{3A25F485-CF05-4248-AFA2-2B370BF5F54F}" uniqueName="2" name=" B1 (kWh)" queryTableFieldId="2" dataDxfId="87"/>
    <tableColumn id="3" xr3:uid="{380BEA7B-238A-43C8-98DD-3C9F0AD2C626}" uniqueName="3" name="B2 (kWh)" queryTableFieldId="3" dataDxfId="86"/>
    <tableColumn id="4" xr3:uid="{718AE8D6-10B7-48B1-A0EF-11F90AEA4393}" uniqueName="4" name="B3 (kWh)" queryTableFieldId="4" dataDxfId="85"/>
    <tableColumn id="5" xr3:uid="{B5173EC9-DC3C-4432-89B4-881491EEBA6F}" uniqueName="5" name="Community" queryTableFieldId="5" dataDxfId="84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A20026EB-3A84-46E7-B86A-ED9978887B90}" name="final_electricity__161924263031324551" displayName="final_electricity__161924263031324551" ref="M2:Q27" tableType="queryTable" totalsRowShown="0" headerRowDxfId="83" dataDxfId="82">
  <autoFilter ref="M2:Q27" xr:uid="{A20026EB-3A84-46E7-B86A-ED9978887B90}"/>
  <tableColumns count="5">
    <tableColumn id="1" xr3:uid="{CAE556FC-107D-4E16-A3C2-81A46FB76C5D}" uniqueName="1" name="Hour" queryTableFieldId="1" dataDxfId="81"/>
    <tableColumn id="2" xr3:uid="{31FB7D3C-7176-4CB6-99A2-1B4EF76B88B1}" uniqueName="2" name=" B1 (kWh)" queryTableFieldId="2" dataDxfId="80"/>
    <tableColumn id="3" xr3:uid="{ED77F489-2FAE-48B9-9B26-3DF19197B476}" uniqueName="3" name="B2 (kWh)" queryTableFieldId="3" dataDxfId="79"/>
    <tableColumn id="4" xr3:uid="{F2EB6F5D-7C40-4377-A698-2770FDE5F539}" uniqueName="4" name="B3 (kWh)" queryTableFieldId="4" dataDxfId="78"/>
    <tableColumn id="5" xr3:uid="{D9269B1A-1E64-4249-BEBA-F0622464771D}" uniqueName="5" name="Community" queryTableFieldId="5" dataDxfId="77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3700AA-AA29-4DD8-AA31-CCB2D42FA1DE}" name="final_electricity__16192426303132333452" displayName="final_electricity__16192426303132333452" ref="AE2:AI27" tableType="queryTable" totalsRowShown="0" headerRowDxfId="76" dataDxfId="75">
  <autoFilter ref="AE2:AI27" xr:uid="{E93700AA-AA29-4DD8-AA31-CCB2D42FA1DE}"/>
  <tableColumns count="5">
    <tableColumn id="1" xr3:uid="{5DB9916F-ACC3-46F9-9397-37D6E5F7A8B6}" uniqueName="1" name="Hour" queryTableFieldId="1" dataDxfId="74"/>
    <tableColumn id="2" xr3:uid="{D3527E21-FB8B-4DD7-88D7-F5F4087AA1A4}" uniqueName="2" name=" B1 (kWh)" queryTableFieldId="2" dataDxfId="73"/>
    <tableColumn id="3" xr3:uid="{F3ADC386-EB52-40D4-824F-B437498E9D88}" uniqueName="3" name="B2 (kWh)" queryTableFieldId="3" dataDxfId="72"/>
    <tableColumn id="4" xr3:uid="{B766ACD8-210F-41B8-BF5E-9921419524BF}" uniqueName="4" name="B3 (kWh)" queryTableFieldId="4" dataDxfId="71"/>
    <tableColumn id="5" xr3:uid="{15822A5F-7181-4475-965F-32FFE554537C}" uniqueName="5" name="Community" queryTableFieldId="6" dataDxfId="70">
      <calculatedColumnFormula>IF(Q3&gt;0,Q3*tariffs[[#This Row],[Building 2 (buy)]],0)</calculatedColumnFormula>
    </tableColumn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2D4139D-6854-42E6-9856-1053C9B29B60}" name="final_electricity__1619242630313233345253" displayName="final_electricity__1619242630313233345253" ref="AK2:AO27" tableType="queryTable" totalsRowShown="0" headerRowDxfId="69" dataDxfId="68">
  <autoFilter ref="AK2:AO27" xr:uid="{42D4139D-6854-42E6-9856-1053C9B29B60}"/>
  <tableColumns count="5">
    <tableColumn id="1" xr3:uid="{78F542B4-4853-4EC2-9C11-27F1F1B84C16}" uniqueName="1" name="Hour" queryTableFieldId="1" dataDxfId="67"/>
    <tableColumn id="2" xr3:uid="{165F911D-67E4-442D-9983-8E4B104534D7}" uniqueName="2" name=" B1 (kWh)" queryTableFieldId="2" dataDxfId="66"/>
    <tableColumn id="3" xr3:uid="{4D96F31F-589E-4AD7-9232-B6955EF460A9}" uniqueName="3" name="B2 (kWh)" queryTableFieldId="3" dataDxfId="65"/>
    <tableColumn id="4" xr3:uid="{91B0A5C8-ABC8-470A-8B5C-00D1F6BE54F0}" uniqueName="4" name="B3 (kWh)" queryTableFieldId="4" dataDxfId="64"/>
    <tableColumn id="5" xr3:uid="{E46DCADA-0F97-4E95-87E9-37B850988BCA}" uniqueName="5" name="Community" queryTableFieldId="6" dataDxfId="63">
      <calculatedColumnFormula>IF(AI3&gt;0,AI3*tariffs[[#This Row],[Building 2 (buy)]],0)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A9ADC126-60DC-458B-BB5F-F78EC010BB0D}" name="final_electricity__1619242630313233345254" displayName="final_electricity__1619242630313233345254" ref="Y2:AC27" tableType="queryTable" totalsRowShown="0" headerRowDxfId="62" dataDxfId="61">
  <autoFilter ref="Y2:AC27" xr:uid="{A9ADC126-60DC-458B-BB5F-F78EC010BB0D}"/>
  <tableColumns count="5">
    <tableColumn id="1" xr3:uid="{3CCF8056-B601-40F0-B31D-685572DC37E5}" uniqueName="1" name="Hour" queryTableFieldId="1" dataDxfId="60"/>
    <tableColumn id="2" xr3:uid="{DA547650-6464-4C7D-9DAE-6283786A2CC7}" uniqueName="2" name=" B1 (kWh)" queryTableFieldId="2" dataDxfId="59"/>
    <tableColumn id="3" xr3:uid="{ECEF6F14-EF67-48D1-9026-DAC3E43EA1F2}" uniqueName="3" name="B2 (kWh)" queryTableFieldId="3" dataDxfId="58"/>
    <tableColumn id="4" xr3:uid="{B62BB987-54C8-4916-84EF-CB6FD860E997}" uniqueName="4" name="B3 (kWh)" queryTableFieldId="4" dataDxfId="57"/>
    <tableColumn id="5" xr3:uid="{D2078CA3-7C27-45D3-8A94-A3562524163C}" uniqueName="5" name="Community" queryTableFieldId="6" dataDxfId="56">
      <calculatedColumnFormula>IF(K3&gt;0,K3*tariffs[[#This Row],[Building 2 (buy)]],0)</calculatedColumnFormula>
    </tableColumn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DCDFD68-7CEB-4E8C-A4D3-CED48B4F8F04}" name="final_electricity__161924263031323334525449" displayName="final_electricity__161924263031323334525449" ref="S2:W27" tableType="queryTable" totalsRowShown="0" headerRowDxfId="55" dataDxfId="54">
  <autoFilter ref="S2:W27" xr:uid="{EDCDFD68-7CEB-4E8C-A4D3-CED48B4F8F04}"/>
  <tableColumns count="5">
    <tableColumn id="1" xr3:uid="{25E04DD6-F58E-4031-8BB1-9828D9DF556C}" uniqueName="1" name="Hour" queryTableFieldId="1" dataDxfId="53"/>
    <tableColumn id="2" xr3:uid="{2229228C-4102-460E-AEF7-566EC0F4AD18}" uniqueName="2" name=" B1 (kWh)" queryTableFieldId="2" dataDxfId="52"/>
    <tableColumn id="3" xr3:uid="{D39DC33C-CB2F-4683-A993-366CC99B1565}" uniqueName="3" name="B2 (kWh)" queryTableFieldId="3" dataDxfId="51"/>
    <tableColumn id="4" xr3:uid="{15DF4ABE-AD53-49A1-810F-5572B442EA58}" uniqueName="4" name="B3 (kWh)" queryTableFieldId="4" dataDxfId="50"/>
    <tableColumn id="5" xr3:uid="{B71FD922-198E-4F3A-8EEE-56E31EF8219D}" uniqueName="5" name="Community" queryTableFieldId="6" dataDxfId="49">
      <calculatedColumnFormula>IF(E3&gt;0,E3*tariffs[[#This Row],[Building 2 (buy)]],0)</calculatedColumnFormula>
    </tableColumn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69E9EBA7-0EF3-4703-8290-82EC72E6AC43}" name="final_electricity__16294458" displayName="final_electricity__16294458" ref="A2:E27" tableType="queryTable" totalsRowShown="0" headerRowDxfId="48" dataDxfId="47">
  <autoFilter ref="A2:E27" xr:uid="{69E9EBA7-0EF3-4703-8290-82EC72E6AC43}"/>
  <tableColumns count="5">
    <tableColumn id="1" xr3:uid="{98F913FC-68DA-4CA8-872C-47BEBA9F47AB}" uniqueName="1" name="Hour" queryTableFieldId="1" dataDxfId="46"/>
    <tableColumn id="2" xr3:uid="{BFD5A75C-02B3-4703-B6AB-4B9197D68E6D}" uniqueName="2" name=" B1 (kWh)" queryTableFieldId="2" dataDxfId="45"/>
    <tableColumn id="3" xr3:uid="{657AE38C-0512-4114-A1D1-2D43D7A5C71A}" uniqueName="3" name="B2 (kWh)" queryTableFieldId="3" dataDxfId="44"/>
    <tableColumn id="4" xr3:uid="{721F8DCB-6051-4B66-B01D-F17CC6675DF4}" uniqueName="4" name="B3 (kWh)" queryTableFieldId="4" dataDxfId="43"/>
    <tableColumn id="5" xr3:uid="{685697E2-D386-496A-B4F6-DA4FF64050D8}" uniqueName="5" name="Community" queryTableFieldId="5" dataDxfId="42">
      <calculatedColumnFormula>SUM(B3:D3)</calculatedColumnFormula>
    </tableColumn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28DCA7DF-F543-45AF-9FEF-36BB1564B5BA}" name="final_electricity__1619242630314859" displayName="final_electricity__1619242630314859" ref="G2:K27" tableType="queryTable" totalsRowShown="0" headerRowDxfId="41" dataDxfId="40">
  <autoFilter ref="G2:K27" xr:uid="{28DCA7DF-F543-45AF-9FEF-36BB1564B5BA}"/>
  <tableColumns count="5">
    <tableColumn id="1" xr3:uid="{AD0A8FD9-EC6B-48B8-8027-6543620902D6}" uniqueName="1" name="Hour" queryTableFieldId="1" dataDxfId="39"/>
    <tableColumn id="2" xr3:uid="{88229B6E-CEDA-4363-862A-94085C9B2CE6}" uniqueName="2" name=" B1 (kWh)" queryTableFieldId="2" dataDxfId="38"/>
    <tableColumn id="3" xr3:uid="{63770598-5483-4D94-BBC1-A7D66E333EB3}" uniqueName="3" name="B2 (kWh)" queryTableFieldId="3" dataDxfId="37"/>
    <tableColumn id="4" xr3:uid="{4B8FA5D3-8BED-4A93-9DCC-DA960644D924}" uniqueName="4" name="B3 (kWh)" queryTableFieldId="4" dataDxfId="36"/>
    <tableColumn id="5" xr3:uid="{8556EB81-9C06-48A5-B29B-C453EB197F8D}" uniqueName="5" name="Community" queryTableFieldId="5" dataDxfId="35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115A2324-1C6A-4786-9D45-B1426C6B3E59}" name="final_electricity__16192426303132455160" displayName="final_electricity__16192426303132455160" ref="M2:Q27" tableType="queryTable" totalsRowShown="0" headerRowDxfId="34" dataDxfId="33">
  <autoFilter ref="M2:Q27" xr:uid="{115A2324-1C6A-4786-9D45-B1426C6B3E59}"/>
  <tableColumns count="5">
    <tableColumn id="1" xr3:uid="{189A07EA-52EC-4AFD-83F3-6FCBFAFBDAB1}" uniqueName="1" name="Hour" queryTableFieldId="1" dataDxfId="32"/>
    <tableColumn id="2" xr3:uid="{2C0EC75A-B0AF-4E92-9912-C2EAB4275EA9}" uniqueName="2" name=" B1 (kWh)" queryTableFieldId="2" dataDxfId="31"/>
    <tableColumn id="3" xr3:uid="{D4421F25-7DCE-4392-9B72-5DACAC954A4E}" uniqueName="3" name="B2 (kWh)" queryTableFieldId="3" dataDxfId="30"/>
    <tableColumn id="4" xr3:uid="{17A6E5CC-5D9F-4DD4-86C1-0264FCC0877A}" uniqueName="4" name="B3 (kWh)" queryTableFieldId="4" dataDxfId="29"/>
    <tableColumn id="5" xr3:uid="{C4D1B1F1-2631-4D84-8366-689BE1D8CAF2}" uniqueName="5" name="Community" queryTableFieldId="5" dataDxfId="28">
      <calculatedColumnFormula>final_electricity__16[[#This Row],[Community]]</calculatedColumnFormula>
    </tableColumn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77526F1-6E2B-4898-AB7A-4A6D176E5E3B}" name="final_electricity__16192426303132333452544961" displayName="final_electricity__16192426303132333452544961" ref="S2:W27" tableType="queryTable" totalsRowShown="0" headerRowDxfId="27" dataDxfId="26">
  <autoFilter ref="S2:W27" xr:uid="{377526F1-6E2B-4898-AB7A-4A6D176E5E3B}"/>
  <tableColumns count="5">
    <tableColumn id="1" xr3:uid="{DA911DF7-6F6D-4432-844A-462641EB7B4A}" uniqueName="1" name="Hour" queryTableFieldId="1" dataDxfId="25"/>
    <tableColumn id="2" xr3:uid="{F85E81DC-F7B8-4EBC-B7C5-1B133D22C767}" uniqueName="2" name=" B1 (kWh)" queryTableFieldId="2" dataDxfId="24"/>
    <tableColumn id="3" xr3:uid="{330D45E1-F217-453C-85FB-7245432299F2}" uniqueName="3" name="B2 (kWh)" queryTableFieldId="3" dataDxfId="23"/>
    <tableColumn id="4" xr3:uid="{13C7959E-4D22-4185-A0F7-9478AB3912CB}" uniqueName="4" name="B3 (kWh)" queryTableFieldId="4" dataDxfId="22"/>
    <tableColumn id="5" xr3:uid="{5EA9BCCF-4117-4468-819C-65E0536A274D}" uniqueName="5" name="Community" queryTableFieldId="6" dataDxfId="21">
      <calculatedColumnFormula>IF(E3&gt;0,E3*tariffs[[#This Row],[Building 2 (buy)]],0)</calculatedColumnFormula>
    </tableColumn>
  </tableColumns>
  <tableStyleInfo name="TableStyleLight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A9F593E-FD74-4E06-9792-BDD8EE101F35}" name="final_electricity__161924263031323334525462" displayName="final_electricity__161924263031323334525462" ref="Y2:AC27" tableType="queryTable" totalsRowShown="0" headerRowDxfId="20" dataDxfId="19">
  <autoFilter ref="Y2:AC27" xr:uid="{0A9F593E-FD74-4E06-9792-BDD8EE101F35}"/>
  <tableColumns count="5">
    <tableColumn id="1" xr3:uid="{5933BF04-C192-473D-AEC2-754A407232CB}" uniqueName="1" name="Hour" queryTableFieldId="1" dataDxfId="18"/>
    <tableColumn id="2" xr3:uid="{ADABFD2B-8B28-46A0-BC00-BC63976E58C5}" uniqueName="2" name=" B1 (kWh)" queryTableFieldId="2" dataDxfId="17"/>
    <tableColumn id="3" xr3:uid="{6C80D638-FF3C-46BF-A88F-1D81FD00DF8F}" uniqueName="3" name="B2 (kWh)" queryTableFieldId="3" dataDxfId="16"/>
    <tableColumn id="4" xr3:uid="{AF60AC12-18AA-4B6E-827C-C2FE0FE25052}" uniqueName="4" name="B3 (kWh)" queryTableFieldId="4" dataDxfId="15"/>
    <tableColumn id="5" xr3:uid="{F396EC7E-96BC-4670-B303-075EF8651BF0}" uniqueName="5" name="Community" queryTableFieldId="6" dataDxfId="14">
      <calculatedColumnFormula>IF(K3&gt;0,K3*tariffs[[#This Row],[Building 2 (buy)]],0)</calculatedColumnFormula>
    </tableColumn>
  </tableColumns>
  <tableStyleInfo name="TableStyleLight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17381F3B-A013-4B61-9451-B15E2DF05037}" name="final_electricity__1619242630313233345263" displayName="final_electricity__1619242630313233345263" ref="AE2:AI27" tableType="queryTable" totalsRowShown="0" headerRowDxfId="13" dataDxfId="12">
  <autoFilter ref="AE2:AI27" xr:uid="{17381F3B-A013-4B61-9451-B15E2DF05037}"/>
  <tableColumns count="5">
    <tableColumn id="1" xr3:uid="{B62A4087-AFEC-4D55-B0F3-6D37A6282423}" uniqueName="1" name="Hour" queryTableFieldId="1" dataDxfId="11"/>
    <tableColumn id="2" xr3:uid="{19313D86-2923-48AD-ADA1-FD811E4EA09E}" uniqueName="2" name=" B1 (kWh)" queryTableFieldId="2" dataDxfId="10"/>
    <tableColumn id="3" xr3:uid="{5C344839-D47C-4C39-A125-A668E6E8C246}" uniqueName="3" name="B2 (kWh)" queryTableFieldId="3" dataDxfId="9"/>
    <tableColumn id="4" xr3:uid="{6BC67F6D-DE38-4CF2-A96E-6AF469660555}" uniqueName="4" name="B3 (kWh)" queryTableFieldId="4" dataDxfId="8"/>
    <tableColumn id="5" xr3:uid="{F2BFDE45-9841-475C-A72B-101B2771E0EC}" uniqueName="5" name="Community" queryTableFieldId="6" dataDxfId="7">
      <calculatedColumnFormula>IF(Q3&gt;0,Q3*tariffs[[#This Row],[Building 2 (buy)]],0)</calculatedColumnFormula>
    </tableColumn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A6492FD2-1BD0-4C78-9849-0E14E6B946A0}" name="final_electricity__161924263031323334525364" displayName="final_electricity__161924263031323334525364" ref="AK2:AO27" tableType="queryTable" totalsRowShown="0" headerRowDxfId="6" dataDxfId="5">
  <autoFilter ref="AK2:AO27" xr:uid="{A6492FD2-1BD0-4C78-9849-0E14E6B946A0}"/>
  <tableColumns count="5">
    <tableColumn id="1" xr3:uid="{5D186301-C097-4C8E-B7CF-672D6F4E2428}" uniqueName="1" name="Hour" queryTableFieldId="1" dataDxfId="4"/>
    <tableColumn id="2" xr3:uid="{2FA381E1-5289-4213-AF14-7E6989A268C4}" uniqueName="2" name=" B1 (kWh)" queryTableFieldId="2" dataDxfId="3"/>
    <tableColumn id="3" xr3:uid="{4D861CC0-8AC0-41D0-9CAE-A3A0789B4A17}" uniqueName="3" name="B2 (kWh)" queryTableFieldId="3" dataDxfId="2"/>
    <tableColumn id="4" xr3:uid="{F5B41612-6DEA-4F4A-A839-D5A954926DBC}" uniqueName="4" name="B3 (kWh)" queryTableFieldId="4" dataDxfId="1"/>
    <tableColumn id="5" xr3:uid="{4C471962-0E08-4803-8AFD-8D18EA2711F3}" uniqueName="5" name="Community" queryTableFieldId="6" dataDxfId="0">
      <calculatedColumnFormula>IF(AI3&gt;0,AI3*tariffs[[#This Row],[Building 2 (buy)]],0)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2" Type="http://schemas.openxmlformats.org/officeDocument/2006/relationships/table" Target="../tables/table26.xml"/><Relationship Id="rId1" Type="http://schemas.openxmlformats.org/officeDocument/2006/relationships/table" Target="../tables/table25.xml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1.xml"/><Relationship Id="rId13" Type="http://schemas.openxmlformats.org/officeDocument/2006/relationships/table" Target="../tables/table46.xml"/><Relationship Id="rId3" Type="http://schemas.openxmlformats.org/officeDocument/2006/relationships/table" Target="../tables/table36.xml"/><Relationship Id="rId7" Type="http://schemas.openxmlformats.org/officeDocument/2006/relationships/table" Target="../tables/table40.xml"/><Relationship Id="rId12" Type="http://schemas.openxmlformats.org/officeDocument/2006/relationships/table" Target="../tables/table45.xml"/><Relationship Id="rId2" Type="http://schemas.openxmlformats.org/officeDocument/2006/relationships/table" Target="../tables/table35.xml"/><Relationship Id="rId1" Type="http://schemas.openxmlformats.org/officeDocument/2006/relationships/table" Target="../tables/table34.xml"/><Relationship Id="rId6" Type="http://schemas.openxmlformats.org/officeDocument/2006/relationships/table" Target="../tables/table39.xml"/><Relationship Id="rId11" Type="http://schemas.openxmlformats.org/officeDocument/2006/relationships/table" Target="../tables/table44.xml"/><Relationship Id="rId5" Type="http://schemas.openxmlformats.org/officeDocument/2006/relationships/table" Target="../tables/table38.xml"/><Relationship Id="rId10" Type="http://schemas.openxmlformats.org/officeDocument/2006/relationships/table" Target="../tables/table43.xml"/><Relationship Id="rId4" Type="http://schemas.openxmlformats.org/officeDocument/2006/relationships/table" Target="../tables/table37.xml"/><Relationship Id="rId9" Type="http://schemas.openxmlformats.org/officeDocument/2006/relationships/table" Target="../tables/table4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7" Type="http://schemas.openxmlformats.org/officeDocument/2006/relationships/table" Target="../tables/table53.xml"/><Relationship Id="rId2" Type="http://schemas.openxmlformats.org/officeDocument/2006/relationships/table" Target="../tables/table48.xml"/><Relationship Id="rId1" Type="http://schemas.openxmlformats.org/officeDocument/2006/relationships/table" Target="../tables/table47.xml"/><Relationship Id="rId6" Type="http://schemas.openxmlformats.org/officeDocument/2006/relationships/table" Target="../tables/table52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7" Type="http://schemas.openxmlformats.org/officeDocument/2006/relationships/table" Target="../tables/table60.xml"/><Relationship Id="rId2" Type="http://schemas.openxmlformats.org/officeDocument/2006/relationships/table" Target="../tables/table55.xml"/><Relationship Id="rId1" Type="http://schemas.openxmlformats.org/officeDocument/2006/relationships/table" Target="../tables/table54.xml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table" Target="../tables/table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EF962-3331-491B-A6E6-1285FF10D704}">
  <sheetPr codeName="Sheet1"/>
  <dimension ref="A1"/>
  <sheetViews>
    <sheetView topLeftCell="A4" zoomScale="60" zoomScaleNormal="60" workbookViewId="0">
      <selection activeCell="AA20" sqref="AA20"/>
    </sheetView>
  </sheetViews>
  <sheetFormatPr defaultRowHeight="14.5" x14ac:dyDescent="0.35"/>
  <cols>
    <col min="1" max="16384" width="8.7265625" style="100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08C3-42F3-4972-82DD-A42BCB639D5F}">
  <sheetPr codeName="Sheet4"/>
  <dimension ref="A1:AE61"/>
  <sheetViews>
    <sheetView topLeftCell="A27" zoomScale="60" zoomScaleNormal="60" workbookViewId="0">
      <selection activeCell="H47" sqref="H47"/>
    </sheetView>
  </sheetViews>
  <sheetFormatPr defaultRowHeight="14.5" x14ac:dyDescent="0.35"/>
  <cols>
    <col min="1" max="1" width="10.26953125" customWidth="1"/>
    <col min="2" max="2" width="20.6328125" customWidth="1"/>
    <col min="3" max="3" width="19.7265625" customWidth="1"/>
    <col min="4" max="4" width="30" customWidth="1"/>
    <col min="5" max="5" width="19.1796875" customWidth="1"/>
    <col min="6" max="6" width="10.453125" customWidth="1"/>
    <col min="7" max="7" width="30.08984375" customWidth="1"/>
    <col min="8" max="8" width="21" customWidth="1"/>
    <col min="9" max="9" width="23.26953125" customWidth="1"/>
    <col min="10" max="10" width="8.90625" bestFit="1" customWidth="1"/>
    <col min="11" max="13" width="22.36328125" bestFit="1" customWidth="1"/>
    <col min="14" max="14" width="23.90625" bestFit="1" customWidth="1"/>
    <col min="15" max="15" width="16.453125" bestFit="1" customWidth="1"/>
    <col min="16" max="20" width="22.36328125" bestFit="1" customWidth="1"/>
    <col min="22" max="22" width="8.90625" bestFit="1" customWidth="1"/>
    <col min="23" max="23" width="17.6328125" bestFit="1" customWidth="1"/>
    <col min="24" max="24" width="17.1796875" bestFit="1" customWidth="1"/>
    <col min="25" max="25" width="17.6328125" bestFit="1" customWidth="1"/>
    <col min="26" max="26" width="17.1796875" bestFit="1" customWidth="1"/>
    <col min="27" max="27" width="17.6328125" bestFit="1" customWidth="1"/>
    <col min="28" max="28" width="17.1796875" bestFit="1" customWidth="1"/>
  </cols>
  <sheetData>
    <row r="1" spans="1:31" ht="18.5" x14ac:dyDescent="0.45">
      <c r="A1" s="107" t="s">
        <v>27</v>
      </c>
      <c r="B1" s="107"/>
      <c r="C1" s="107"/>
      <c r="D1" s="107"/>
      <c r="F1" s="107" t="s">
        <v>28</v>
      </c>
      <c r="G1" s="107"/>
      <c r="H1" s="107"/>
      <c r="I1" s="107"/>
      <c r="J1" s="107"/>
      <c r="K1" s="107"/>
      <c r="L1" s="107"/>
      <c r="N1" s="107" t="s">
        <v>32</v>
      </c>
      <c r="O1" s="107"/>
      <c r="P1" s="107"/>
      <c r="Q1" s="107"/>
      <c r="T1" s="106"/>
      <c r="U1" s="106"/>
      <c r="V1" s="106"/>
      <c r="W1" s="106"/>
      <c r="X1" s="106"/>
      <c r="Y1" s="106"/>
      <c r="AB1" s="106"/>
      <c r="AC1" s="106"/>
      <c r="AD1" s="106"/>
      <c r="AE1" s="106"/>
    </row>
    <row r="2" spans="1:31" x14ac:dyDescent="0.35">
      <c r="A2" s="1" t="s">
        <v>3</v>
      </c>
      <c r="B2" s="1" t="s">
        <v>166</v>
      </c>
      <c r="C2" s="1" t="s">
        <v>167</v>
      </c>
      <c r="D2" s="1" t="s">
        <v>0</v>
      </c>
      <c r="F2" s="1" t="s">
        <v>3</v>
      </c>
      <c r="G2" s="1" t="s">
        <v>4</v>
      </c>
      <c r="H2" s="1" t="s">
        <v>5</v>
      </c>
      <c r="I2" s="1" t="s">
        <v>23</v>
      </c>
      <c r="J2" s="1" t="s">
        <v>24</v>
      </c>
      <c r="K2" s="1" t="s">
        <v>6</v>
      </c>
      <c r="M2" s="1" t="s">
        <v>3</v>
      </c>
      <c r="N2" s="1" t="s">
        <v>29</v>
      </c>
      <c r="O2" s="1" t="s">
        <v>30</v>
      </c>
      <c r="P2" s="1" t="s">
        <v>31</v>
      </c>
      <c r="S2" s="24"/>
      <c r="T2" s="24"/>
      <c r="U2" s="24"/>
      <c r="V2" s="24"/>
      <c r="W2" s="24"/>
      <c r="X2" s="24"/>
      <c r="AA2" s="24"/>
      <c r="AB2" s="24"/>
      <c r="AC2" s="24"/>
      <c r="AD2" s="24"/>
    </row>
    <row r="3" spans="1:31" x14ac:dyDescent="0.35">
      <c r="A3" s="1">
        <v>0</v>
      </c>
      <c r="B3">
        <v>0.16300000000000001</v>
      </c>
      <c r="C3">
        <v>126.105</v>
      </c>
      <c r="D3">
        <v>122.83199999999999</v>
      </c>
      <c r="F3" s="1">
        <v>0</v>
      </c>
      <c r="G3" s="55">
        <v>15.95</v>
      </c>
      <c r="H3" s="55">
        <v>2.4500000000000002</v>
      </c>
      <c r="I3" s="55" t="s">
        <v>7</v>
      </c>
      <c r="J3" s="55" t="s">
        <v>7</v>
      </c>
      <c r="K3" s="55">
        <v>0</v>
      </c>
      <c r="M3" s="1">
        <v>0</v>
      </c>
      <c r="N3">
        <v>5</v>
      </c>
      <c r="O3">
        <v>0</v>
      </c>
      <c r="P3">
        <v>0</v>
      </c>
      <c r="S3" s="24"/>
      <c r="T3" s="24"/>
      <c r="U3" s="24"/>
      <c r="V3" s="24"/>
      <c r="W3" s="24"/>
      <c r="X3" s="24"/>
      <c r="AA3" s="24"/>
      <c r="AB3" s="24"/>
      <c r="AC3" s="24"/>
      <c r="AD3" s="24"/>
    </row>
    <row r="4" spans="1:31" x14ac:dyDescent="0.35">
      <c r="A4" s="1">
        <v>1</v>
      </c>
      <c r="B4">
        <v>0.14899999999999999</v>
      </c>
      <c r="C4">
        <v>124.566</v>
      </c>
      <c r="D4">
        <v>121.10599999999999</v>
      </c>
      <c r="F4" s="1">
        <v>1</v>
      </c>
      <c r="G4" s="55">
        <v>15.78</v>
      </c>
      <c r="H4" s="55">
        <v>2.23</v>
      </c>
      <c r="I4" s="55" t="s">
        <v>7</v>
      </c>
      <c r="J4" s="55" t="s">
        <v>7</v>
      </c>
      <c r="K4" s="55" t="s">
        <v>7</v>
      </c>
      <c r="M4" s="1">
        <v>1</v>
      </c>
      <c r="N4">
        <v>5</v>
      </c>
      <c r="O4">
        <v>0</v>
      </c>
      <c r="P4">
        <v>0</v>
      </c>
      <c r="S4" s="24"/>
      <c r="T4" s="24"/>
      <c r="U4" s="24"/>
      <c r="V4" s="24"/>
      <c r="W4" s="24"/>
      <c r="X4" s="24"/>
      <c r="AA4" s="24"/>
      <c r="AB4" s="24"/>
      <c r="AC4" s="24"/>
      <c r="AD4" s="24"/>
    </row>
    <row r="5" spans="1:31" x14ac:dyDescent="0.35">
      <c r="A5" s="1">
        <v>2</v>
      </c>
      <c r="B5">
        <v>0.121</v>
      </c>
      <c r="C5">
        <v>122.24</v>
      </c>
      <c r="D5">
        <v>111.349</v>
      </c>
      <c r="F5" s="1">
        <v>2</v>
      </c>
      <c r="G5" s="55">
        <v>15.56</v>
      </c>
      <c r="H5" s="55">
        <v>1.94</v>
      </c>
      <c r="I5" s="55" t="s">
        <v>7</v>
      </c>
      <c r="J5" s="55" t="s">
        <v>7</v>
      </c>
      <c r="K5" s="55" t="s">
        <v>7</v>
      </c>
      <c r="M5" s="1">
        <v>2</v>
      </c>
      <c r="N5">
        <v>5</v>
      </c>
      <c r="O5">
        <v>0</v>
      </c>
      <c r="P5">
        <v>0</v>
      </c>
      <c r="S5" s="24"/>
      <c r="T5" s="24"/>
      <c r="U5" s="24"/>
      <c r="V5" s="24"/>
      <c r="W5" s="24"/>
      <c r="X5" s="24"/>
      <c r="AA5" s="24"/>
      <c r="AB5" s="24"/>
      <c r="AC5" s="24"/>
      <c r="AD5" s="24"/>
    </row>
    <row r="6" spans="1:31" x14ac:dyDescent="0.35">
      <c r="A6" s="1">
        <v>3</v>
      </c>
      <c r="B6">
        <v>0.112</v>
      </c>
      <c r="C6">
        <v>119.33199999999999</v>
      </c>
      <c r="D6">
        <v>108.373</v>
      </c>
      <c r="F6" s="1">
        <v>3</v>
      </c>
      <c r="G6" s="55">
        <v>15.34</v>
      </c>
      <c r="H6" s="55">
        <v>1.64</v>
      </c>
      <c r="I6" s="55" t="s">
        <v>7</v>
      </c>
      <c r="J6" s="55" t="s">
        <v>7</v>
      </c>
      <c r="K6" s="55" t="s">
        <v>7</v>
      </c>
      <c r="M6" s="1">
        <v>3</v>
      </c>
      <c r="N6">
        <v>5</v>
      </c>
      <c r="O6">
        <v>0</v>
      </c>
      <c r="P6">
        <v>0</v>
      </c>
      <c r="S6" s="24"/>
      <c r="T6" s="24"/>
      <c r="U6" s="24"/>
      <c r="V6" s="24"/>
      <c r="W6" s="24"/>
      <c r="X6" s="24"/>
      <c r="AA6" s="24"/>
      <c r="AB6" s="24"/>
      <c r="AC6" s="24"/>
      <c r="AD6" s="24"/>
    </row>
    <row r="7" spans="1:31" x14ac:dyDescent="0.35">
      <c r="A7" s="1">
        <v>4</v>
      </c>
      <c r="B7">
        <v>0.11700000000000001</v>
      </c>
      <c r="C7">
        <v>118.456</v>
      </c>
      <c r="D7">
        <v>111.221</v>
      </c>
      <c r="F7" s="1">
        <v>4</v>
      </c>
      <c r="G7" s="55">
        <v>15.12</v>
      </c>
      <c r="H7" s="55">
        <v>1.34</v>
      </c>
      <c r="I7" s="55" t="s">
        <v>7</v>
      </c>
      <c r="J7" s="55" t="s">
        <v>7</v>
      </c>
      <c r="K7" s="55" t="s">
        <v>7</v>
      </c>
      <c r="M7" s="1">
        <v>4</v>
      </c>
      <c r="N7">
        <v>5</v>
      </c>
      <c r="O7">
        <v>0</v>
      </c>
      <c r="P7">
        <v>0</v>
      </c>
      <c r="S7" s="24"/>
      <c r="T7" s="24"/>
      <c r="U7" s="24"/>
      <c r="V7" s="24"/>
      <c r="W7" s="24"/>
      <c r="X7" s="24"/>
      <c r="AA7" s="24"/>
      <c r="AB7" s="24"/>
      <c r="AC7" s="24"/>
      <c r="AD7" s="24"/>
    </row>
    <row r="8" spans="1:31" x14ac:dyDescent="0.35">
      <c r="A8" s="1">
        <v>5</v>
      </c>
      <c r="B8">
        <v>0.13</v>
      </c>
      <c r="C8">
        <v>123.203</v>
      </c>
      <c r="D8">
        <v>124.458</v>
      </c>
      <c r="F8" s="1">
        <v>5</v>
      </c>
      <c r="G8" s="55">
        <v>14.96</v>
      </c>
      <c r="H8" s="55">
        <v>1.54</v>
      </c>
      <c r="I8" s="55" t="s">
        <v>7</v>
      </c>
      <c r="J8" s="55" t="s">
        <v>7</v>
      </c>
      <c r="K8" s="55" t="s">
        <v>7</v>
      </c>
      <c r="M8" s="1">
        <v>5</v>
      </c>
      <c r="N8">
        <v>5</v>
      </c>
      <c r="O8">
        <v>0</v>
      </c>
      <c r="P8">
        <v>0</v>
      </c>
      <c r="S8" s="24"/>
      <c r="T8" s="24"/>
      <c r="U8" s="24"/>
      <c r="V8" s="24"/>
      <c r="W8" s="24"/>
      <c r="X8" s="24"/>
      <c r="AA8" s="24"/>
      <c r="AB8" s="24"/>
      <c r="AC8" s="24"/>
      <c r="AD8" s="24"/>
    </row>
    <row r="9" spans="1:31" x14ac:dyDescent="0.35">
      <c r="A9" s="1">
        <v>6</v>
      </c>
      <c r="B9">
        <v>0.11700000000000001</v>
      </c>
      <c r="C9">
        <v>128.864</v>
      </c>
      <c r="D9">
        <v>135.33600000000001</v>
      </c>
      <c r="F9" s="1">
        <v>6</v>
      </c>
      <c r="G9" s="55">
        <v>14.8</v>
      </c>
      <c r="H9" s="55">
        <v>1.73</v>
      </c>
      <c r="I9" s="55" t="s">
        <v>7</v>
      </c>
      <c r="J9" s="55" t="s">
        <v>7</v>
      </c>
      <c r="K9" s="55" t="s">
        <v>7</v>
      </c>
      <c r="M9" s="1">
        <v>6</v>
      </c>
      <c r="N9">
        <v>5</v>
      </c>
      <c r="O9">
        <v>0</v>
      </c>
      <c r="P9">
        <v>0</v>
      </c>
      <c r="S9" s="24"/>
      <c r="T9" s="24"/>
      <c r="U9" s="24"/>
      <c r="V9" s="24"/>
      <c r="W9" s="24"/>
      <c r="X9" s="24"/>
      <c r="AA9" s="24"/>
      <c r="AB9" s="24"/>
      <c r="AC9" s="24"/>
      <c r="AD9" s="24"/>
    </row>
    <row r="10" spans="1:31" x14ac:dyDescent="0.35">
      <c r="A10" s="1">
        <v>7</v>
      </c>
      <c r="B10">
        <v>0.377</v>
      </c>
      <c r="C10">
        <v>156.93</v>
      </c>
      <c r="D10">
        <v>205.28700000000001</v>
      </c>
      <c r="F10" s="1">
        <v>7</v>
      </c>
      <c r="G10" s="55">
        <v>14.63</v>
      </c>
      <c r="H10" s="55">
        <v>1.93</v>
      </c>
      <c r="I10" s="55" t="s">
        <v>7</v>
      </c>
      <c r="J10" s="55" t="s">
        <v>7</v>
      </c>
      <c r="K10" s="55" t="s">
        <v>7</v>
      </c>
      <c r="M10" s="1">
        <v>7</v>
      </c>
      <c r="N10">
        <v>5</v>
      </c>
      <c r="O10">
        <v>50</v>
      </c>
      <c r="P10">
        <v>80</v>
      </c>
      <c r="S10" s="24"/>
      <c r="T10" s="24"/>
      <c r="U10" s="24"/>
      <c r="V10" s="24"/>
      <c r="W10" s="24"/>
      <c r="X10" s="24"/>
      <c r="AA10" s="24"/>
      <c r="AB10" s="24"/>
      <c r="AC10" s="24"/>
      <c r="AD10" s="24"/>
    </row>
    <row r="11" spans="1:31" x14ac:dyDescent="0.35">
      <c r="A11" s="1">
        <v>8</v>
      </c>
      <c r="B11">
        <v>0.90200000000000002</v>
      </c>
      <c r="C11">
        <v>213.28899999999999</v>
      </c>
      <c r="D11">
        <v>276.12</v>
      </c>
      <c r="F11" s="1">
        <v>8</v>
      </c>
      <c r="G11" s="55">
        <v>15.54</v>
      </c>
      <c r="H11" s="55">
        <v>2.13</v>
      </c>
      <c r="I11" s="55" t="s">
        <v>7</v>
      </c>
      <c r="J11" s="55" t="s">
        <v>7</v>
      </c>
      <c r="K11" s="55" t="s">
        <v>7</v>
      </c>
      <c r="M11" s="1">
        <v>8</v>
      </c>
      <c r="N11">
        <v>1</v>
      </c>
      <c r="O11">
        <v>100</v>
      </c>
      <c r="P11">
        <v>150</v>
      </c>
      <c r="S11" s="24"/>
      <c r="T11" s="24"/>
      <c r="U11" s="24"/>
      <c r="V11" s="24"/>
      <c r="W11" s="24"/>
      <c r="X11" s="24"/>
      <c r="AA11" s="24"/>
      <c r="AB11" s="24"/>
      <c r="AC11" s="24"/>
      <c r="AD11" s="24"/>
    </row>
    <row r="12" spans="1:31" x14ac:dyDescent="0.35">
      <c r="A12" s="1">
        <v>9</v>
      </c>
      <c r="B12">
        <v>0.17599999999999999</v>
      </c>
      <c r="C12">
        <v>264.62</v>
      </c>
      <c r="D12">
        <v>327.05939999999998</v>
      </c>
      <c r="F12" s="1">
        <v>9</v>
      </c>
      <c r="G12" s="55">
        <v>16.45</v>
      </c>
      <c r="H12" s="55">
        <v>2.34</v>
      </c>
      <c r="I12" s="55">
        <v>55.32</v>
      </c>
      <c r="J12" s="55" t="s">
        <v>7</v>
      </c>
      <c r="K12" s="55">
        <v>69.59</v>
      </c>
      <c r="M12" s="1">
        <v>9</v>
      </c>
      <c r="N12">
        <v>0</v>
      </c>
      <c r="O12">
        <v>150</v>
      </c>
      <c r="P12">
        <v>250</v>
      </c>
      <c r="S12" s="24"/>
      <c r="T12" s="24"/>
      <c r="U12" s="24"/>
      <c r="V12" s="24"/>
      <c r="W12" s="24"/>
      <c r="X12" s="24"/>
      <c r="AA12" s="24"/>
      <c r="AB12" s="24"/>
      <c r="AC12" s="24"/>
      <c r="AD12" s="24"/>
    </row>
    <row r="13" spans="1:31" x14ac:dyDescent="0.35">
      <c r="A13" s="1">
        <v>10</v>
      </c>
      <c r="B13">
        <v>0.318</v>
      </c>
      <c r="C13">
        <v>278.54599999999999</v>
      </c>
      <c r="D13">
        <v>357.839</v>
      </c>
      <c r="F13" s="1">
        <v>10</v>
      </c>
      <c r="G13" s="55">
        <v>17.36</v>
      </c>
      <c r="H13" s="55">
        <v>2.54</v>
      </c>
      <c r="I13" s="55">
        <v>109.52</v>
      </c>
      <c r="J13" s="55" t="s">
        <v>7</v>
      </c>
      <c r="K13" s="55">
        <v>262.81</v>
      </c>
      <c r="M13" s="1">
        <v>10</v>
      </c>
      <c r="N13">
        <v>0</v>
      </c>
      <c r="O13">
        <v>200</v>
      </c>
      <c r="P13">
        <v>280</v>
      </c>
      <c r="S13" s="24"/>
      <c r="T13" s="24"/>
      <c r="U13" s="24"/>
      <c r="V13" s="24"/>
      <c r="W13" s="24"/>
      <c r="X13" s="24"/>
      <c r="AA13" s="24"/>
      <c r="AB13" s="24"/>
      <c r="AC13" s="24"/>
      <c r="AD13" s="24"/>
    </row>
    <row r="14" spans="1:31" x14ac:dyDescent="0.35">
      <c r="A14" s="1">
        <v>11</v>
      </c>
      <c r="B14">
        <v>0.122</v>
      </c>
      <c r="C14">
        <v>290.54700000000003</v>
      </c>
      <c r="D14">
        <v>393.238</v>
      </c>
      <c r="F14" s="1">
        <v>11</v>
      </c>
      <c r="G14" s="55">
        <v>18.41</v>
      </c>
      <c r="H14" s="55">
        <v>2.4</v>
      </c>
      <c r="I14" s="55">
        <v>121.1</v>
      </c>
      <c r="J14" s="55">
        <v>30.98</v>
      </c>
      <c r="K14" s="55">
        <v>477.68</v>
      </c>
      <c r="M14" s="1">
        <v>11</v>
      </c>
      <c r="N14">
        <v>0</v>
      </c>
      <c r="O14">
        <v>250</v>
      </c>
      <c r="P14">
        <v>250</v>
      </c>
      <c r="S14" s="24"/>
      <c r="T14" s="24"/>
      <c r="U14" s="24"/>
      <c r="V14" s="24"/>
      <c r="W14" s="24"/>
      <c r="X14" s="24"/>
      <c r="AA14" s="24"/>
      <c r="AB14" s="24"/>
      <c r="AC14" s="24"/>
      <c r="AD14" s="24"/>
    </row>
    <row r="15" spans="1:31" x14ac:dyDescent="0.35">
      <c r="A15" s="1">
        <v>12</v>
      </c>
      <c r="B15">
        <v>0.10100000000000001</v>
      </c>
      <c r="C15">
        <v>278.565</v>
      </c>
      <c r="D15">
        <v>400.87400000000002</v>
      </c>
      <c r="F15" s="1">
        <v>12</v>
      </c>
      <c r="G15" s="55">
        <v>19.46</v>
      </c>
      <c r="H15" s="55">
        <v>2.27</v>
      </c>
      <c r="I15" s="55">
        <v>188.12</v>
      </c>
      <c r="J15" s="55">
        <v>50.37</v>
      </c>
      <c r="K15" s="55">
        <v>588.53</v>
      </c>
      <c r="M15" s="1">
        <v>12</v>
      </c>
      <c r="N15">
        <v>0</v>
      </c>
      <c r="O15">
        <v>230</v>
      </c>
      <c r="P15">
        <v>220</v>
      </c>
      <c r="S15" s="24"/>
      <c r="T15" s="24"/>
      <c r="U15" s="24"/>
      <c r="V15" s="24"/>
      <c r="W15" s="24"/>
      <c r="X15" s="24"/>
      <c r="AA15" s="24"/>
      <c r="AB15" s="24"/>
      <c r="AC15" s="24"/>
      <c r="AD15" s="24"/>
    </row>
    <row r="16" spans="1:31" x14ac:dyDescent="0.35">
      <c r="A16" s="1">
        <v>13</v>
      </c>
      <c r="B16">
        <v>0.106</v>
      </c>
      <c r="C16">
        <v>298.416</v>
      </c>
      <c r="D16">
        <v>372.48899999999998</v>
      </c>
      <c r="F16" s="1">
        <v>13</v>
      </c>
      <c r="G16" s="55">
        <v>20.51</v>
      </c>
      <c r="H16" s="55">
        <v>2.14</v>
      </c>
      <c r="I16" s="55">
        <v>236.73</v>
      </c>
      <c r="J16" s="55">
        <v>75.209999999999994</v>
      </c>
      <c r="K16" s="55">
        <v>651.66999999999996</v>
      </c>
      <c r="M16" s="1">
        <v>13</v>
      </c>
      <c r="N16">
        <v>0</v>
      </c>
      <c r="O16">
        <v>210</v>
      </c>
      <c r="P16">
        <v>250</v>
      </c>
      <c r="S16" s="24"/>
      <c r="T16" s="24"/>
      <c r="U16" s="24"/>
      <c r="V16" s="24"/>
      <c r="W16" s="24"/>
      <c r="X16" s="24"/>
      <c r="AA16" s="24"/>
      <c r="AB16" s="24"/>
      <c r="AC16" s="24"/>
      <c r="AD16" s="24"/>
    </row>
    <row r="17" spans="1:30" x14ac:dyDescent="0.35">
      <c r="A17" s="1">
        <v>14</v>
      </c>
      <c r="B17">
        <v>0.17499999999999999</v>
      </c>
      <c r="C17">
        <v>322.815</v>
      </c>
      <c r="D17">
        <v>357.63299999999998</v>
      </c>
      <c r="F17" s="1">
        <v>14</v>
      </c>
      <c r="G17" s="55">
        <v>20.66</v>
      </c>
      <c r="H17" s="55">
        <v>2.56</v>
      </c>
      <c r="I17" s="55">
        <v>196.37</v>
      </c>
      <c r="J17" s="55">
        <v>100.32</v>
      </c>
      <c r="K17" s="55">
        <v>743.89</v>
      </c>
      <c r="M17" s="1">
        <v>14</v>
      </c>
      <c r="N17">
        <v>1</v>
      </c>
      <c r="O17">
        <v>250</v>
      </c>
      <c r="P17">
        <v>270</v>
      </c>
      <c r="S17" s="24"/>
      <c r="T17" s="24"/>
      <c r="U17" s="24"/>
      <c r="V17" s="24"/>
      <c r="W17" s="24"/>
      <c r="X17" s="24"/>
      <c r="AA17" s="24"/>
      <c r="AB17" s="24"/>
      <c r="AC17" s="24"/>
      <c r="AD17" s="24"/>
    </row>
    <row r="18" spans="1:30" x14ac:dyDescent="0.35">
      <c r="A18" s="1">
        <v>15</v>
      </c>
      <c r="B18">
        <v>0.23200000000000001</v>
      </c>
      <c r="C18">
        <v>325.81900000000002</v>
      </c>
      <c r="D18">
        <v>367.19799999999998</v>
      </c>
      <c r="F18" s="1">
        <v>15</v>
      </c>
      <c r="G18" s="55">
        <v>20.81</v>
      </c>
      <c r="H18" s="55">
        <v>2.98</v>
      </c>
      <c r="I18" s="55">
        <v>199.64</v>
      </c>
      <c r="J18" s="55">
        <v>78.48</v>
      </c>
      <c r="K18" s="55">
        <v>733.57</v>
      </c>
      <c r="M18" s="1">
        <v>15</v>
      </c>
      <c r="N18">
        <v>1</v>
      </c>
      <c r="O18">
        <v>230</v>
      </c>
      <c r="P18">
        <v>280</v>
      </c>
      <c r="S18" s="24"/>
      <c r="T18" s="24"/>
      <c r="U18" s="24"/>
      <c r="V18" s="24"/>
      <c r="W18" s="24"/>
      <c r="X18" s="24"/>
      <c r="AA18" s="24"/>
      <c r="AB18" s="24"/>
      <c r="AC18" s="24"/>
      <c r="AD18" s="24"/>
    </row>
    <row r="19" spans="1:30" x14ac:dyDescent="0.35">
      <c r="A19" s="1">
        <v>16</v>
      </c>
      <c r="B19">
        <v>0.161</v>
      </c>
      <c r="C19">
        <v>305.94099999999997</v>
      </c>
      <c r="D19">
        <v>356.8</v>
      </c>
      <c r="F19" s="1">
        <v>16</v>
      </c>
      <c r="G19" s="55">
        <v>20.95</v>
      </c>
      <c r="H19" s="55">
        <v>3.41</v>
      </c>
      <c r="I19" s="55">
        <v>181.73</v>
      </c>
      <c r="J19" s="55">
        <v>45.94</v>
      </c>
      <c r="K19" s="55">
        <v>676.24</v>
      </c>
      <c r="M19" s="1">
        <v>16</v>
      </c>
      <c r="N19">
        <v>1</v>
      </c>
      <c r="O19">
        <v>220</v>
      </c>
      <c r="P19">
        <v>230</v>
      </c>
      <c r="S19" s="24"/>
      <c r="T19" s="24"/>
      <c r="U19" s="24"/>
      <c r="V19" s="24"/>
      <c r="W19" s="24"/>
      <c r="X19" s="24"/>
      <c r="AA19" s="24"/>
      <c r="AB19" s="24"/>
      <c r="AC19" s="24"/>
      <c r="AD19" s="24"/>
    </row>
    <row r="20" spans="1:30" x14ac:dyDescent="0.35">
      <c r="A20" s="1">
        <v>17</v>
      </c>
      <c r="B20">
        <v>0.28699999999999998</v>
      </c>
      <c r="C20">
        <v>272.05799999999999</v>
      </c>
      <c r="D20">
        <v>330.608</v>
      </c>
      <c r="F20" s="1">
        <v>17</v>
      </c>
      <c r="G20" s="55">
        <v>19.96</v>
      </c>
      <c r="H20" s="55">
        <v>3.38</v>
      </c>
      <c r="I20" s="55">
        <v>178.37</v>
      </c>
      <c r="J20" s="55">
        <v>16.579999999999998</v>
      </c>
      <c r="K20" s="55">
        <v>526.4</v>
      </c>
      <c r="M20" s="1">
        <v>17</v>
      </c>
      <c r="N20">
        <v>3</v>
      </c>
      <c r="O20">
        <v>180</v>
      </c>
      <c r="P20">
        <v>200</v>
      </c>
      <c r="S20" s="24"/>
      <c r="T20" s="24"/>
      <c r="U20" s="24"/>
      <c r="V20" s="24"/>
      <c r="W20" s="24"/>
      <c r="X20" s="24"/>
      <c r="AA20" s="24"/>
      <c r="AB20" s="24"/>
      <c r="AC20" s="24"/>
      <c r="AD20" s="24"/>
    </row>
    <row r="21" spans="1:30" x14ac:dyDescent="0.35">
      <c r="A21" s="1">
        <v>18</v>
      </c>
      <c r="B21">
        <v>0.30199999999999999</v>
      </c>
      <c r="C21">
        <v>225.411</v>
      </c>
      <c r="D21">
        <v>282.596</v>
      </c>
      <c r="F21" s="1">
        <v>18</v>
      </c>
      <c r="G21" s="55">
        <v>18.96</v>
      </c>
      <c r="H21" s="55">
        <v>3.36</v>
      </c>
      <c r="I21" s="55">
        <v>152.11000000000001</v>
      </c>
      <c r="J21" s="55">
        <v>6.04</v>
      </c>
      <c r="K21" s="55">
        <v>361.77</v>
      </c>
      <c r="M21" s="1">
        <v>18</v>
      </c>
      <c r="N21">
        <v>4</v>
      </c>
      <c r="O21">
        <v>85</v>
      </c>
      <c r="P21">
        <v>150</v>
      </c>
      <c r="S21" s="24"/>
      <c r="T21" s="24"/>
      <c r="U21" s="24"/>
      <c r="V21" s="24"/>
      <c r="W21" s="24"/>
      <c r="X21" s="24"/>
      <c r="AA21" s="24"/>
      <c r="AB21" s="24"/>
      <c r="AC21" s="24"/>
      <c r="AD21" s="24"/>
    </row>
    <row r="22" spans="1:30" x14ac:dyDescent="0.35">
      <c r="A22" s="1">
        <v>19</v>
      </c>
      <c r="B22">
        <v>0.154</v>
      </c>
      <c r="C22">
        <v>200.375</v>
      </c>
      <c r="D22">
        <v>220.05699999999999</v>
      </c>
      <c r="F22" s="1">
        <v>19</v>
      </c>
      <c r="G22" s="55">
        <v>17.96</v>
      </c>
      <c r="H22" s="55">
        <v>3.34</v>
      </c>
      <c r="I22" s="55" t="s">
        <v>7</v>
      </c>
      <c r="J22" s="55" t="s">
        <v>7</v>
      </c>
      <c r="K22" s="55" t="s">
        <v>7</v>
      </c>
      <c r="M22" s="1">
        <v>19</v>
      </c>
      <c r="N22">
        <v>4</v>
      </c>
      <c r="O22">
        <v>50</v>
      </c>
      <c r="P22">
        <v>100</v>
      </c>
      <c r="S22" s="24"/>
      <c r="T22" s="24"/>
      <c r="U22" s="24"/>
      <c r="V22" s="24"/>
      <c r="W22" s="24"/>
      <c r="X22" s="24"/>
      <c r="AA22" s="24"/>
      <c r="AB22" s="24"/>
      <c r="AC22" s="24"/>
      <c r="AD22" s="24"/>
    </row>
    <row r="23" spans="1:30" x14ac:dyDescent="0.35">
      <c r="A23" s="1">
        <v>20</v>
      </c>
      <c r="B23">
        <v>0.65300000000000002</v>
      </c>
      <c r="C23">
        <v>163.98</v>
      </c>
      <c r="D23">
        <v>178.715</v>
      </c>
      <c r="F23" s="1">
        <v>20</v>
      </c>
      <c r="G23" s="55">
        <v>17.36</v>
      </c>
      <c r="H23" s="55">
        <v>2.96</v>
      </c>
      <c r="I23" s="55" t="s">
        <v>7</v>
      </c>
      <c r="J23" s="55" t="s">
        <v>7</v>
      </c>
      <c r="K23" s="55" t="s">
        <v>7</v>
      </c>
      <c r="M23" s="1">
        <v>20</v>
      </c>
      <c r="N23">
        <v>5</v>
      </c>
      <c r="O23">
        <v>10</v>
      </c>
      <c r="P23">
        <v>80</v>
      </c>
      <c r="S23" s="24"/>
      <c r="T23" s="24"/>
      <c r="U23" s="24"/>
      <c r="V23" s="24"/>
      <c r="W23" s="24"/>
      <c r="X23" s="24"/>
      <c r="AA23" s="24"/>
      <c r="AB23" s="24"/>
      <c r="AC23" s="24"/>
      <c r="AD23" s="24"/>
    </row>
    <row r="24" spans="1:30" x14ac:dyDescent="0.35">
      <c r="A24" s="1">
        <v>21</v>
      </c>
      <c r="B24">
        <v>1.663</v>
      </c>
      <c r="C24">
        <v>148.77500000000001</v>
      </c>
      <c r="D24">
        <v>153.333</v>
      </c>
      <c r="F24" s="1">
        <v>21</v>
      </c>
      <c r="G24" s="55">
        <v>16.760000000000002</v>
      </c>
      <c r="H24" s="55">
        <v>2.58</v>
      </c>
      <c r="I24" s="55" t="s">
        <v>7</v>
      </c>
      <c r="J24" s="55" t="s">
        <v>7</v>
      </c>
      <c r="K24" s="55" t="s">
        <v>7</v>
      </c>
      <c r="M24" s="1">
        <v>21</v>
      </c>
      <c r="N24">
        <v>5</v>
      </c>
      <c r="O24">
        <v>5</v>
      </c>
      <c r="P24">
        <v>70</v>
      </c>
      <c r="S24" s="24"/>
      <c r="T24" s="24"/>
      <c r="U24" s="24"/>
      <c r="V24" s="24"/>
      <c r="W24" s="24"/>
      <c r="X24" s="24"/>
      <c r="AA24" s="24"/>
      <c r="AB24" s="24"/>
      <c r="AC24" s="24"/>
      <c r="AD24" s="24"/>
    </row>
    <row r="25" spans="1:30" x14ac:dyDescent="0.35">
      <c r="A25" s="1">
        <v>22</v>
      </c>
      <c r="B25">
        <v>0.755</v>
      </c>
      <c r="C25">
        <v>128.393</v>
      </c>
      <c r="D25">
        <v>138.67599999999999</v>
      </c>
      <c r="F25" s="1">
        <v>22</v>
      </c>
      <c r="G25" s="55">
        <v>16.16</v>
      </c>
      <c r="H25" s="55">
        <v>2.21</v>
      </c>
      <c r="I25" s="55" t="s">
        <v>7</v>
      </c>
      <c r="J25" s="55" t="s">
        <v>7</v>
      </c>
      <c r="K25" s="55" t="s">
        <v>7</v>
      </c>
      <c r="M25" s="1">
        <v>22</v>
      </c>
      <c r="N25">
        <v>5</v>
      </c>
      <c r="O25">
        <v>0</v>
      </c>
      <c r="P25">
        <v>60</v>
      </c>
      <c r="S25" s="24"/>
      <c r="T25" s="24"/>
      <c r="U25" s="24"/>
      <c r="V25" s="24"/>
      <c r="W25" s="24"/>
      <c r="X25" s="24"/>
      <c r="AA25" s="24"/>
      <c r="AB25" s="24"/>
      <c r="AC25" s="24"/>
      <c r="AD25" s="24"/>
    </row>
    <row r="26" spans="1:30" x14ac:dyDescent="0.35">
      <c r="A26" s="1">
        <v>23</v>
      </c>
      <c r="B26">
        <v>0.44400000000000001</v>
      </c>
      <c r="C26">
        <v>121.883</v>
      </c>
      <c r="D26">
        <v>135.27199999999999</v>
      </c>
      <c r="F26" s="1">
        <v>23</v>
      </c>
      <c r="G26" s="55">
        <v>16.04</v>
      </c>
      <c r="H26" s="55">
        <v>1.65</v>
      </c>
      <c r="I26" s="55" t="s">
        <v>7</v>
      </c>
      <c r="J26" s="55" t="s">
        <v>7</v>
      </c>
      <c r="K26" s="55" t="s">
        <v>7</v>
      </c>
      <c r="M26" s="1">
        <v>23</v>
      </c>
      <c r="N26">
        <v>5</v>
      </c>
      <c r="O26">
        <v>0</v>
      </c>
      <c r="P26">
        <v>50</v>
      </c>
      <c r="S26" s="24"/>
      <c r="T26" s="24"/>
      <c r="U26" s="24"/>
      <c r="V26" s="24"/>
      <c r="W26" s="24"/>
      <c r="X26" s="24"/>
      <c r="AA26" s="24"/>
      <c r="AB26" s="24"/>
      <c r="AC26" s="24"/>
      <c r="AD26" s="24"/>
    </row>
    <row r="27" spans="1:30" x14ac:dyDescent="0.35"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</row>
    <row r="28" spans="1:30" x14ac:dyDescent="0.35">
      <c r="D28" s="23"/>
      <c r="E28" s="23"/>
      <c r="F28" s="23"/>
      <c r="G28" s="23"/>
      <c r="H28" s="23"/>
      <c r="I28" s="28"/>
      <c r="J28" s="28"/>
      <c r="K28" s="28"/>
      <c r="L28" s="28"/>
      <c r="M28" s="28"/>
      <c r="N28" s="28"/>
      <c r="O28" s="28"/>
      <c r="P28" s="23"/>
      <c r="Q28" s="23"/>
      <c r="R28" s="23"/>
      <c r="S28" s="23"/>
      <c r="T28" s="23"/>
    </row>
    <row r="29" spans="1:30" x14ac:dyDescent="0.35"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</row>
    <row r="30" spans="1:30" ht="18.5" x14ac:dyDescent="0.45">
      <c r="D30" s="106" t="s">
        <v>46</v>
      </c>
      <c r="E30" s="106"/>
      <c r="F30" s="23"/>
      <c r="G30" s="106" t="s">
        <v>71</v>
      </c>
      <c r="H30" s="106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</row>
    <row r="31" spans="1:30" x14ac:dyDescent="0.35">
      <c r="D31" s="24" t="s">
        <v>25</v>
      </c>
      <c r="E31" s="24" t="s">
        <v>26</v>
      </c>
      <c r="F31" s="23"/>
      <c r="G31" s="23" t="s">
        <v>25</v>
      </c>
      <c r="H31" s="23" t="s">
        <v>26</v>
      </c>
      <c r="I31" s="23"/>
    </row>
    <row r="32" spans="1:30" x14ac:dyDescent="0.35">
      <c r="D32" s="24" t="s">
        <v>33</v>
      </c>
      <c r="E32" t="s">
        <v>277</v>
      </c>
      <c r="F32" s="23"/>
      <c r="G32" s="24" t="s">
        <v>47</v>
      </c>
      <c r="H32">
        <v>1</v>
      </c>
      <c r="I32" s="23"/>
    </row>
    <row r="33" spans="4:9" x14ac:dyDescent="0.35">
      <c r="D33" s="24" t="s">
        <v>34</v>
      </c>
      <c r="E33" t="s">
        <v>278</v>
      </c>
      <c r="F33" s="23"/>
      <c r="G33" s="24" t="s">
        <v>48</v>
      </c>
      <c r="H33">
        <v>8</v>
      </c>
      <c r="I33" s="23"/>
    </row>
    <row r="34" spans="4:9" x14ac:dyDescent="0.35">
      <c r="D34" s="24" t="s">
        <v>35</v>
      </c>
      <c r="E34">
        <v>2.5499999999999998</v>
      </c>
      <c r="F34" s="23"/>
      <c r="G34" s="24" t="s">
        <v>49</v>
      </c>
      <c r="H34">
        <v>10</v>
      </c>
      <c r="I34" s="23"/>
    </row>
    <row r="35" spans="4:9" x14ac:dyDescent="0.35">
      <c r="D35" s="24" t="s">
        <v>36</v>
      </c>
      <c r="E35">
        <v>0.26</v>
      </c>
      <c r="F35" s="23"/>
      <c r="G35" s="24" t="s">
        <v>50</v>
      </c>
      <c r="H35">
        <v>3</v>
      </c>
      <c r="I35" s="23"/>
    </row>
    <row r="36" spans="4:9" x14ac:dyDescent="0.35">
      <c r="D36" s="24" t="s">
        <v>37</v>
      </c>
      <c r="E36">
        <v>0.1</v>
      </c>
      <c r="F36" s="23"/>
      <c r="G36" s="24" t="s">
        <v>51</v>
      </c>
      <c r="H36">
        <v>1.2</v>
      </c>
      <c r="I36" s="23"/>
    </row>
    <row r="37" spans="4:9" x14ac:dyDescent="0.35">
      <c r="D37" s="24" t="s">
        <v>38</v>
      </c>
      <c r="E37">
        <v>1.2969999999999999</v>
      </c>
      <c r="F37" s="23"/>
      <c r="G37" s="24" t="s">
        <v>52</v>
      </c>
      <c r="H37">
        <v>2.2999999999999998</v>
      </c>
      <c r="I37" s="23"/>
    </row>
    <row r="38" spans="4:9" x14ac:dyDescent="0.35">
      <c r="D38" s="24" t="s">
        <v>39</v>
      </c>
      <c r="E38">
        <v>9.8000000000000007</v>
      </c>
      <c r="F38" s="23"/>
      <c r="G38" s="24" t="s">
        <v>53</v>
      </c>
      <c r="H38">
        <v>0.25</v>
      </c>
      <c r="I38" s="23"/>
    </row>
    <row r="39" spans="4:9" x14ac:dyDescent="0.35">
      <c r="D39" s="24" t="s">
        <v>40</v>
      </c>
      <c r="E39" t="s">
        <v>279</v>
      </c>
      <c r="F39" s="23"/>
      <c r="G39" s="24" t="s">
        <v>54</v>
      </c>
      <c r="H39">
        <v>0.4</v>
      </c>
      <c r="I39" s="23"/>
    </row>
    <row r="40" spans="4:9" x14ac:dyDescent="0.35">
      <c r="D40" s="24" t="s">
        <v>41</v>
      </c>
      <c r="E40" t="s">
        <v>280</v>
      </c>
      <c r="F40" s="23"/>
      <c r="G40" s="24" t="s">
        <v>55</v>
      </c>
      <c r="H40">
        <v>20</v>
      </c>
      <c r="I40" s="23"/>
    </row>
    <row r="41" spans="4:9" x14ac:dyDescent="0.35">
      <c r="D41" s="24" t="s">
        <v>42</v>
      </c>
      <c r="E41" t="s">
        <v>7</v>
      </c>
      <c r="F41" s="23"/>
      <c r="G41" s="24" t="s">
        <v>56</v>
      </c>
      <c r="H41">
        <v>16</v>
      </c>
      <c r="I41" s="23"/>
    </row>
    <row r="42" spans="4:9" x14ac:dyDescent="0.35">
      <c r="D42" s="24" t="s">
        <v>43</v>
      </c>
      <c r="E42" t="s">
        <v>7</v>
      </c>
      <c r="F42" s="23"/>
      <c r="G42" s="24" t="s">
        <v>57</v>
      </c>
      <c r="H42">
        <v>24</v>
      </c>
      <c r="I42" s="23"/>
    </row>
    <row r="43" spans="4:9" x14ac:dyDescent="0.35">
      <c r="D43" s="24" t="s">
        <v>44</v>
      </c>
      <c r="E43">
        <v>0.9</v>
      </c>
      <c r="F43" s="23"/>
      <c r="G43" s="24" t="s">
        <v>58</v>
      </c>
      <c r="H43">
        <v>20</v>
      </c>
      <c r="I43" s="23"/>
    </row>
    <row r="44" spans="4:9" x14ac:dyDescent="0.35">
      <c r="D44" s="24" t="s">
        <v>45</v>
      </c>
      <c r="E44">
        <v>0.95</v>
      </c>
      <c r="F44" s="23"/>
      <c r="G44" s="24" t="s">
        <v>59</v>
      </c>
      <c r="H44">
        <v>120</v>
      </c>
      <c r="I44" s="23"/>
    </row>
    <row r="45" spans="4:9" x14ac:dyDescent="0.35">
      <c r="D45" s="23"/>
      <c r="E45" s="23"/>
      <c r="F45" s="23"/>
      <c r="G45" s="24" t="s">
        <v>60</v>
      </c>
      <c r="H45">
        <v>4</v>
      </c>
      <c r="I45" s="23"/>
    </row>
    <row r="46" spans="4:9" x14ac:dyDescent="0.35">
      <c r="D46" s="108"/>
      <c r="E46" s="108"/>
      <c r="F46" s="23"/>
      <c r="G46" s="24" t="s">
        <v>61</v>
      </c>
      <c r="H46">
        <v>0.25</v>
      </c>
      <c r="I46" s="23"/>
    </row>
    <row r="47" spans="4:9" x14ac:dyDescent="0.35">
      <c r="D47" s="23"/>
      <c r="E47" s="23"/>
      <c r="F47" s="23"/>
      <c r="G47" s="24" t="s">
        <v>62</v>
      </c>
      <c r="H47">
        <v>40</v>
      </c>
      <c r="I47" s="23"/>
    </row>
    <row r="48" spans="4:9" x14ac:dyDescent="0.35">
      <c r="D48" s="23"/>
      <c r="E48" s="23"/>
      <c r="F48" s="23"/>
      <c r="G48" s="24" t="s">
        <v>63</v>
      </c>
      <c r="H48">
        <v>20</v>
      </c>
      <c r="I48" s="23"/>
    </row>
    <row r="49" spans="4:20" x14ac:dyDescent="0.35">
      <c r="D49" s="23"/>
      <c r="E49" s="23"/>
      <c r="F49" s="23"/>
      <c r="G49" s="24" t="s">
        <v>64</v>
      </c>
      <c r="H49">
        <v>45</v>
      </c>
      <c r="I49" s="23"/>
    </row>
    <row r="50" spans="4:20" x14ac:dyDescent="0.35">
      <c r="D50" s="23"/>
      <c r="E50" s="23"/>
      <c r="F50" s="23"/>
      <c r="G50" s="24" t="s">
        <v>65</v>
      </c>
      <c r="H50">
        <v>50</v>
      </c>
      <c r="I50" s="23"/>
    </row>
    <row r="51" spans="4:20" x14ac:dyDescent="0.35">
      <c r="D51" s="23"/>
      <c r="E51" s="23"/>
      <c r="F51" s="23"/>
      <c r="G51" s="24" t="s">
        <v>66</v>
      </c>
      <c r="H51">
        <v>4</v>
      </c>
      <c r="I51" s="23"/>
    </row>
    <row r="52" spans="4:20" x14ac:dyDescent="0.35">
      <c r="D52" s="23"/>
      <c r="E52" s="23"/>
      <c r="F52" s="23"/>
      <c r="G52" s="24" t="s">
        <v>67</v>
      </c>
      <c r="H52">
        <v>5</v>
      </c>
      <c r="I52" s="23"/>
    </row>
    <row r="53" spans="4:20" x14ac:dyDescent="0.35">
      <c r="D53" s="23"/>
      <c r="E53" s="23"/>
      <c r="F53" s="23"/>
      <c r="G53" s="24" t="s">
        <v>68</v>
      </c>
      <c r="H53">
        <v>3.5</v>
      </c>
      <c r="I53" s="23"/>
    </row>
    <row r="54" spans="4:20" x14ac:dyDescent="0.35">
      <c r="D54" s="23"/>
      <c r="E54" s="23"/>
      <c r="F54" s="23"/>
      <c r="G54" s="24" t="s">
        <v>69</v>
      </c>
      <c r="H54">
        <v>1.0035000000000001</v>
      </c>
      <c r="I54" s="23"/>
    </row>
    <row r="55" spans="4:20" x14ac:dyDescent="0.35">
      <c r="D55" s="23"/>
      <c r="E55" s="23"/>
      <c r="F55" s="23"/>
      <c r="G55" s="24" t="s">
        <v>70</v>
      </c>
      <c r="H55">
        <v>4.17</v>
      </c>
      <c r="I55" s="23"/>
      <c r="P55" s="23"/>
      <c r="Q55" s="23"/>
      <c r="R55" s="23"/>
      <c r="S55" s="23"/>
      <c r="T55" s="23"/>
    </row>
    <row r="56" spans="4:20" ht="15.5" x14ac:dyDescent="0.35">
      <c r="D56" s="23"/>
      <c r="E56" s="23"/>
      <c r="F56" s="23"/>
      <c r="G56" s="25" t="s">
        <v>128</v>
      </c>
      <c r="H56" s="24">
        <v>1000</v>
      </c>
      <c r="I56" s="23"/>
      <c r="L56" s="23"/>
      <c r="M56" s="23"/>
      <c r="N56" s="23"/>
      <c r="O56" s="23"/>
      <c r="P56" s="23"/>
      <c r="Q56" s="23"/>
      <c r="R56" s="23"/>
      <c r="S56" s="23"/>
      <c r="T56" s="23"/>
    </row>
    <row r="57" spans="4:20" x14ac:dyDescent="0.35">
      <c r="D57" s="23"/>
      <c r="E57" s="23"/>
      <c r="F57" s="23"/>
      <c r="G57" s="24" t="s">
        <v>129</v>
      </c>
      <c r="H57" s="24">
        <v>1.2969999999999999</v>
      </c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</row>
    <row r="58" spans="4:20" x14ac:dyDescent="0.35">
      <c r="G58" s="1"/>
      <c r="H58" s="1"/>
    </row>
    <row r="59" spans="4:20" x14ac:dyDescent="0.35">
      <c r="G59" s="51"/>
      <c r="H59" s="51"/>
    </row>
    <row r="60" spans="4:20" x14ac:dyDescent="0.35">
      <c r="G60" s="52"/>
    </row>
    <row r="61" spans="4:20" x14ac:dyDescent="0.35">
      <c r="G61" s="52"/>
    </row>
  </sheetData>
  <mergeCells count="8">
    <mergeCell ref="AB1:AE1"/>
    <mergeCell ref="D30:E30"/>
    <mergeCell ref="F1:L1"/>
    <mergeCell ref="N1:Q1"/>
    <mergeCell ref="D46:E46"/>
    <mergeCell ref="G30:H30"/>
    <mergeCell ref="A1:D1"/>
    <mergeCell ref="T1:Y1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CF37-9022-4A2E-86FD-A10A6D22D07D}">
  <sheetPr codeName="Sheet2"/>
  <dimension ref="B1:V28"/>
  <sheetViews>
    <sheetView zoomScale="60" zoomScaleNormal="60" workbookViewId="0">
      <selection activeCell="R27" sqref="R27"/>
    </sheetView>
  </sheetViews>
  <sheetFormatPr defaultRowHeight="14.5" x14ac:dyDescent="0.35"/>
  <cols>
    <col min="1" max="1" width="20.36328125" customWidth="1"/>
    <col min="2" max="2" width="22.1796875" customWidth="1"/>
    <col min="3" max="3" width="11.08984375" customWidth="1"/>
    <col min="4" max="4" width="11.1796875" customWidth="1"/>
    <col min="5" max="5" width="11.26953125" customWidth="1"/>
    <col min="6" max="6" width="12.36328125" customWidth="1"/>
    <col min="9" max="9" width="29.36328125" customWidth="1"/>
    <col min="10" max="10" width="11.08984375" customWidth="1"/>
    <col min="11" max="11" width="10.54296875" customWidth="1"/>
    <col min="12" max="12" width="9.7265625" customWidth="1"/>
    <col min="13" max="13" width="11.54296875" customWidth="1"/>
    <col min="15" max="15" width="11.6328125" customWidth="1"/>
    <col min="16" max="16" width="21.26953125" customWidth="1"/>
    <col min="17" max="17" width="13.453125" customWidth="1"/>
    <col min="18" max="18" width="30.7265625" customWidth="1"/>
    <col min="19" max="19" width="12.36328125" customWidth="1"/>
    <col min="20" max="20" width="14.1796875" customWidth="1"/>
    <col min="21" max="22" width="11.6328125" customWidth="1"/>
  </cols>
  <sheetData>
    <row r="1" spans="2:20" ht="14.5" customHeight="1" x14ac:dyDescent="0.35">
      <c r="B1" s="2"/>
      <c r="C1" s="2"/>
      <c r="D1" s="2"/>
      <c r="E1" s="2"/>
    </row>
    <row r="2" spans="2:20" ht="14.5" customHeight="1" x14ac:dyDescent="0.45">
      <c r="B2" s="113" t="s">
        <v>197</v>
      </c>
      <c r="C2" s="113"/>
      <c r="D2" s="113"/>
      <c r="E2" s="113"/>
      <c r="F2" s="113"/>
      <c r="I2" s="113" t="s">
        <v>198</v>
      </c>
      <c r="J2" s="113"/>
      <c r="K2" s="113"/>
      <c r="L2" s="113"/>
      <c r="M2" s="113"/>
      <c r="P2" s="114" t="s">
        <v>205</v>
      </c>
      <c r="Q2" s="114"/>
      <c r="R2" s="114"/>
      <c r="S2" s="114"/>
      <c r="T2" s="114"/>
    </row>
    <row r="3" spans="2:20" ht="15.5" x14ac:dyDescent="0.35">
      <c r="B3" s="12"/>
      <c r="C3" s="12" t="s">
        <v>1</v>
      </c>
      <c r="D3" s="12" t="s">
        <v>2</v>
      </c>
      <c r="E3" s="12" t="s">
        <v>14</v>
      </c>
      <c r="F3" s="12" t="s">
        <v>8</v>
      </c>
      <c r="I3" s="12"/>
      <c r="J3" s="12" t="s">
        <v>1</v>
      </c>
      <c r="K3" s="12" t="s">
        <v>2</v>
      </c>
      <c r="L3" s="12" t="s">
        <v>14</v>
      </c>
      <c r="M3" s="12" t="s">
        <v>8</v>
      </c>
      <c r="P3" s="115" t="s">
        <v>225</v>
      </c>
      <c r="Q3" s="116"/>
      <c r="R3" s="115" t="s">
        <v>161</v>
      </c>
      <c r="S3" s="116"/>
      <c r="T3" s="43"/>
    </row>
    <row r="4" spans="2:20" ht="15.5" x14ac:dyDescent="0.35">
      <c r="B4" s="12" t="s">
        <v>15</v>
      </c>
      <c r="C4" s="84">
        <f>'Primary Energy'!B27</f>
        <v>1.347953216374269E-3</v>
      </c>
      <c r="D4" s="84">
        <f>'Primary Energy'!C27</f>
        <v>0.83576350189198501</v>
      </c>
      <c r="E4" s="84">
        <f>'Primary Energy'!D27</f>
        <v>0.97840890952872384</v>
      </c>
      <c r="F4" s="84">
        <f>'Primary Energy'!E27</f>
        <v>1.815520364637083</v>
      </c>
      <c r="I4" s="12" t="s">
        <v>15</v>
      </c>
      <c r="J4" s="84">
        <f>'Primary Energy'!H27</f>
        <v>4.4285038907891068E-3</v>
      </c>
      <c r="K4" s="84">
        <f>'Primary Energy'!I27</f>
        <v>0.83576350189198501</v>
      </c>
      <c r="L4" s="84">
        <f>'Primary Energy'!J27</f>
        <v>0.97840890952872384</v>
      </c>
      <c r="M4" s="84">
        <f>'Primary Energy'!K27</f>
        <v>1.8186009153114977</v>
      </c>
      <c r="P4" s="93" t="s">
        <v>227</v>
      </c>
      <c r="Q4" s="93" t="s">
        <v>187</v>
      </c>
      <c r="R4" s="93" t="s">
        <v>226</v>
      </c>
      <c r="S4" s="93" t="s">
        <v>187</v>
      </c>
      <c r="T4" s="39" t="s">
        <v>224</v>
      </c>
    </row>
    <row r="5" spans="2:20" ht="15.5" x14ac:dyDescent="0.35">
      <c r="B5" s="12" t="s">
        <v>16</v>
      </c>
      <c r="C5" s="85">
        <f>'Final Energy'!B27</f>
        <v>7.8369999999999997</v>
      </c>
      <c r="D5" s="85">
        <f>'Final Energy'!C27</f>
        <v>4859.128999999999</v>
      </c>
      <c r="E5" s="85">
        <f>'Final Energy'!D27</f>
        <v>5688.4694</v>
      </c>
      <c r="F5" s="85">
        <f>'Final Energy'!E27</f>
        <v>10555.435399999998</v>
      </c>
      <c r="I5" s="12" t="s">
        <v>16</v>
      </c>
      <c r="J5" s="85">
        <f>'Final Energy'!H27</f>
        <v>25.747321621047867</v>
      </c>
      <c r="K5" s="85">
        <f>D5</f>
        <v>4859.128999999999</v>
      </c>
      <c r="L5" s="85">
        <f>E5</f>
        <v>5688.4694</v>
      </c>
      <c r="M5" s="85">
        <f>'Final Energy'!K27</f>
        <v>10573.345721621048</v>
      </c>
      <c r="P5" s="93">
        <v>900</v>
      </c>
      <c r="Q5" s="93">
        <v>750</v>
      </c>
      <c r="R5" s="93">
        <v>20</v>
      </c>
      <c r="S5" s="93">
        <v>16</v>
      </c>
      <c r="T5" s="44">
        <v>0.01</v>
      </c>
    </row>
    <row r="6" spans="2:20" ht="15.5" x14ac:dyDescent="0.35">
      <c r="B6" s="12" t="s">
        <v>137</v>
      </c>
      <c r="C6" s="85">
        <f>C5</f>
        <v>7.8369999999999997</v>
      </c>
      <c r="D6" s="85">
        <f t="shared" ref="D6:F6" si="0">D5</f>
        <v>4859.128999999999</v>
      </c>
      <c r="E6" s="85">
        <f t="shared" si="0"/>
        <v>5688.4694</v>
      </c>
      <c r="F6" s="85">
        <f t="shared" si="0"/>
        <v>10555.435399999998</v>
      </c>
      <c r="I6" s="12" t="s">
        <v>137</v>
      </c>
      <c r="J6" s="85">
        <f>J5</f>
        <v>25.747321621047867</v>
      </c>
      <c r="K6" s="85">
        <f t="shared" ref="K6:M6" si="1">K5</f>
        <v>4859.128999999999</v>
      </c>
      <c r="L6" s="85">
        <f t="shared" si="1"/>
        <v>5688.4694</v>
      </c>
      <c r="M6" s="85">
        <f t="shared" si="1"/>
        <v>10573.345721621048</v>
      </c>
    </row>
    <row r="7" spans="2:20" ht="15.5" x14ac:dyDescent="0.35">
      <c r="B7" s="12" t="s">
        <v>17</v>
      </c>
      <c r="C7" s="85">
        <f>'Base Management'!N27</f>
        <v>1.5674000000000003</v>
      </c>
      <c r="D7" s="85">
        <f>'Base Management'!O27</f>
        <v>971.82580000000019</v>
      </c>
      <c r="E7" s="85">
        <f>'Base Management'!P27</f>
        <v>1137.6938800000003</v>
      </c>
      <c r="F7" s="85">
        <f>'Base Management'!Q27</f>
        <v>2111.0870800000002</v>
      </c>
      <c r="I7" s="12" t="s">
        <v>17</v>
      </c>
      <c r="J7" s="85">
        <f>'Services Management'!AA27</f>
        <v>5.149464324209573</v>
      </c>
      <c r="K7" s="85">
        <f>'Services Management'!AB27</f>
        <v>971.82580000000019</v>
      </c>
      <c r="L7" s="85">
        <f>'Services Management'!AC27</f>
        <v>1137.6938800000003</v>
      </c>
      <c r="M7" s="85">
        <f>'Services Management'!AD27</f>
        <v>2114.6691443242098</v>
      </c>
      <c r="P7" s="83" t="s">
        <v>233</v>
      </c>
      <c r="Q7" s="12" t="s">
        <v>228</v>
      </c>
      <c r="R7" s="12" t="s">
        <v>229</v>
      </c>
      <c r="S7" s="12" t="s">
        <v>230</v>
      </c>
      <c r="T7" s="12" t="s">
        <v>8</v>
      </c>
    </row>
    <row r="8" spans="2:20" ht="15.5" x14ac:dyDescent="0.35">
      <c r="B8" s="12" t="s">
        <v>85</v>
      </c>
      <c r="C8" s="85">
        <f>'Base Management'!H27</f>
        <v>1.4541977999999998</v>
      </c>
      <c r="D8" s="85">
        <f>'Base Management'!I27</f>
        <v>736.45668079999996</v>
      </c>
      <c r="E8" s="85">
        <f>'Base Management'!J27</f>
        <v>920.44633620000002</v>
      </c>
      <c r="F8" s="85">
        <f>'Base Management'!K27</f>
        <v>1611.3300466400003</v>
      </c>
      <c r="I8" s="12" t="s">
        <v>85</v>
      </c>
      <c r="J8" s="85">
        <f>'Services Management'!U27</f>
        <v>3.4386981546607576</v>
      </c>
      <c r="K8" s="85">
        <f>'Services Management'!V27</f>
        <v>736.45668079999996</v>
      </c>
      <c r="L8" s="85">
        <f>'Services Management'!W27</f>
        <v>920.44633620000002</v>
      </c>
      <c r="M8" s="85">
        <f>'Services Management'!X27</f>
        <v>1613.0250786310526</v>
      </c>
      <c r="P8" s="12" t="s">
        <v>231</v>
      </c>
      <c r="Q8" s="16">
        <f>'Conversion Technologies'!B3/('Conversion Technologies'!$I$2*10^-3)*'Conversion Technologies'!$I$5</f>
        <v>900</v>
      </c>
      <c r="R8" s="16">
        <f>'Conversion Technologies'!B4/('Conversion Technologies'!$I$2*10^-3)*'Conversion Technologies'!$I$5</f>
        <v>9000</v>
      </c>
      <c r="S8" s="16">
        <f>'Conversion Technologies'!B5/('Conversion Technologies'!I2*10^-3)*'Conversion Technologies'!I5</f>
        <v>18000</v>
      </c>
      <c r="T8" s="16">
        <f>SUM(Q8:S8)</f>
        <v>27900</v>
      </c>
    </row>
    <row r="9" spans="2:20" ht="15.5" x14ac:dyDescent="0.35">
      <c r="P9" s="12" t="s">
        <v>232</v>
      </c>
      <c r="Q9" s="89">
        <f>(J8-C21+C23)*365</f>
        <v>103.29092513999977</v>
      </c>
      <c r="R9" s="90">
        <f>(K8-D21+D23)*365</f>
        <v>946.69957654993595</v>
      </c>
      <c r="S9" s="90">
        <f>(L8-E21+E23)*365</f>
        <v>1995.3702324000142</v>
      </c>
      <c r="T9" s="90">
        <f>(M8-F21+F23)*365</f>
        <v>2934.7686873049506</v>
      </c>
    </row>
    <row r="10" spans="2:20" ht="15.5" x14ac:dyDescent="0.35">
      <c r="P10" s="12" t="s">
        <v>205</v>
      </c>
      <c r="Q10" s="90">
        <f>Q9*((1-(1+$T$5)^-$R$5)/$T$5)-Q8</f>
        <v>963.94186054894294</v>
      </c>
      <c r="R10" s="91">
        <f>R9*((1-(1+$T$5)^-$R$5)/$T$5)-R8</f>
        <v>8083.7173517776864</v>
      </c>
      <c r="S10" s="91">
        <f>S9*((1-(1+$T$5)^-$R$5)/$T$5)-S8</f>
        <v>18007.559216093854</v>
      </c>
      <c r="T10" s="92">
        <f>T9*((1-(1+$T$5)^-$R$5)/$T$5)-T8</f>
        <v>25059.523790513515</v>
      </c>
    </row>
    <row r="11" spans="2:20" ht="18.5" x14ac:dyDescent="0.45">
      <c r="B11" s="113" t="s">
        <v>199</v>
      </c>
      <c r="C11" s="113"/>
      <c r="D11" s="113"/>
      <c r="E11" s="113"/>
      <c r="F11" s="113"/>
      <c r="I11" s="113" t="s">
        <v>202</v>
      </c>
      <c r="J11" s="113"/>
      <c r="K11" s="113"/>
      <c r="L11" s="113"/>
      <c r="M11" s="113"/>
    </row>
    <row r="12" spans="2:20" ht="15.5" x14ac:dyDescent="0.35">
      <c r="B12" s="12"/>
      <c r="C12" s="12" t="s">
        <v>1</v>
      </c>
      <c r="D12" s="12" t="s">
        <v>2</v>
      </c>
      <c r="E12" s="12" t="s">
        <v>14</v>
      </c>
      <c r="F12" s="12" t="s">
        <v>8</v>
      </c>
      <c r="I12" s="12"/>
      <c r="J12" s="12" t="s">
        <v>1</v>
      </c>
      <c r="K12" s="12" t="s">
        <v>2</v>
      </c>
      <c r="L12" s="12" t="s">
        <v>14</v>
      </c>
      <c r="M12" s="12" t="s">
        <v>8</v>
      </c>
      <c r="P12" s="83" t="s">
        <v>234</v>
      </c>
      <c r="Q12" s="12" t="s">
        <v>228</v>
      </c>
      <c r="R12" s="12" t="s">
        <v>229</v>
      </c>
      <c r="S12" s="12" t="s">
        <v>230</v>
      </c>
      <c r="T12" s="12" t="s">
        <v>8</v>
      </c>
    </row>
    <row r="13" spans="2:20" ht="15.5" x14ac:dyDescent="0.35">
      <c r="B13" s="12" t="s">
        <v>15</v>
      </c>
      <c r="C13" s="84">
        <f>'Primary Energy'!N27</f>
        <v>4.2935236706308682E-3</v>
      </c>
      <c r="D13" s="84">
        <f>'Primary Energy'!O27</f>
        <v>0.83437116443068471</v>
      </c>
      <c r="E13" s="84">
        <f>'Primary Energy'!P27</f>
        <v>0.97562423460612313</v>
      </c>
      <c r="F13" s="84">
        <f>'Primary Energy'!Q27</f>
        <v>1.8142846691814667</v>
      </c>
      <c r="I13" s="12" t="s">
        <v>15</v>
      </c>
      <c r="J13" s="84">
        <f>C13</f>
        <v>4.2935236706308682E-3</v>
      </c>
      <c r="K13" s="84">
        <f t="shared" ref="K13:M14" si="2">D13</f>
        <v>0.83437116443068471</v>
      </c>
      <c r="L13" s="84">
        <f t="shared" si="2"/>
        <v>0.97562423460612313</v>
      </c>
      <c r="M13" s="84">
        <f t="shared" si="2"/>
        <v>1.8142846691814667</v>
      </c>
      <c r="P13" s="12" t="s">
        <v>231</v>
      </c>
      <c r="Q13" s="16">
        <f>Q8+'Conversion Technologies'!$I$19</f>
        <v>2400</v>
      </c>
      <c r="R13" s="16">
        <f>R8</f>
        <v>9000</v>
      </c>
      <c r="S13" s="16">
        <f>S8</f>
        <v>18000</v>
      </c>
      <c r="T13" s="16">
        <f>T8+'Conversion Technologies'!$I$19</f>
        <v>29400</v>
      </c>
    </row>
    <row r="14" spans="2:20" ht="15.5" x14ac:dyDescent="0.35">
      <c r="B14" s="12" t="s">
        <v>16</v>
      </c>
      <c r="C14" s="85">
        <f>J5</f>
        <v>25.747321621047867</v>
      </c>
      <c r="D14" s="85">
        <f t="shared" ref="D14:F14" si="3">K5</f>
        <v>4859.128999999999</v>
      </c>
      <c r="E14" s="85">
        <f t="shared" si="3"/>
        <v>5688.4694</v>
      </c>
      <c r="F14" s="85">
        <f t="shared" si="3"/>
        <v>10573.345721621048</v>
      </c>
      <c r="I14" s="12" t="s">
        <v>16</v>
      </c>
      <c r="J14" s="85">
        <f>C14</f>
        <v>25.747321621047867</v>
      </c>
      <c r="K14" s="85">
        <f t="shared" si="2"/>
        <v>4859.128999999999</v>
      </c>
      <c r="L14" s="85">
        <f t="shared" si="2"/>
        <v>5688.4694</v>
      </c>
      <c r="M14" s="85">
        <f t="shared" si="2"/>
        <v>10573.345721621048</v>
      </c>
      <c r="P14" s="12" t="s">
        <v>232</v>
      </c>
      <c r="Q14" s="89">
        <f>(J8-J21+J23)*365</f>
        <v>151.57386008574989</v>
      </c>
      <c r="R14" s="90">
        <f>(K8-K21+K23)*365</f>
        <v>946.69957654993595</v>
      </c>
      <c r="S14" s="90">
        <f>(L8-L21+L23)*365</f>
        <v>1995.3702324000142</v>
      </c>
      <c r="T14" s="90">
        <f>(M8-M21+M23)*365</f>
        <v>-14176.928662081245</v>
      </c>
    </row>
    <row r="15" spans="2:20" ht="15.5" x14ac:dyDescent="0.35">
      <c r="B15" s="12" t="s">
        <v>146</v>
      </c>
      <c r="C15" s="85">
        <f>'Services+PV Management'!S27</f>
        <v>-0.25995000000000007</v>
      </c>
      <c r="D15" s="85">
        <f>'Services+PV Management'!T27</f>
        <v>0</v>
      </c>
      <c r="E15" s="85">
        <f>'Services+PV Management'!U27</f>
        <v>0</v>
      </c>
      <c r="F15" s="85">
        <f>'Services+PV Management'!U56</f>
        <v>0</v>
      </c>
      <c r="I15" s="12" t="s">
        <v>146</v>
      </c>
      <c r="J15" s="85">
        <f>'Services+PV+Battery Management'!W27</f>
        <v>0</v>
      </c>
      <c r="K15" s="85">
        <f t="shared" ref="K15:M15" si="4">D15</f>
        <v>0</v>
      </c>
      <c r="L15" s="85">
        <f t="shared" si="4"/>
        <v>0</v>
      </c>
      <c r="M15" s="85">
        <f t="shared" si="4"/>
        <v>0</v>
      </c>
      <c r="P15" s="12" t="s">
        <v>205</v>
      </c>
      <c r="Q15" s="90">
        <f>Q14*((1-(1+$T$5)^-$S$5)/$T$5)-Q13</f>
        <v>-169.15505900628114</v>
      </c>
      <c r="R15" s="90">
        <f>R14*((1-(1+$T$5)^-$S$5)/$T$5)-R13</f>
        <v>4933.4048746435074</v>
      </c>
      <c r="S15" s="90">
        <f>S14*((1-(1+$T$5)^-$S$5)/$T$5)-S13</f>
        <v>11367.607223572479</v>
      </c>
      <c r="T15" s="90">
        <f>T14*((1-(1+$T$5)^-$S$5)/$T$5)-T13</f>
        <v>-238054.24662762246</v>
      </c>
    </row>
    <row r="16" spans="2:20" ht="15.5" x14ac:dyDescent="0.35">
      <c r="B16" s="12" t="s">
        <v>222</v>
      </c>
      <c r="C16" s="85">
        <f>'Services+PV Management'!N27</f>
        <v>24.388261621047871</v>
      </c>
      <c r="D16" s="85">
        <f>'Services+PV Management'!O27</f>
        <v>4842.9388999999992</v>
      </c>
      <c r="E16" s="85">
        <f>'Services+PV Management'!P27</f>
        <v>5656.0891999999994</v>
      </c>
      <c r="F16" s="85">
        <f>'Services+PV Management'!V56</f>
        <v>10523.15641162105</v>
      </c>
      <c r="I16" s="12" t="s">
        <v>222</v>
      </c>
      <c r="J16" s="85">
        <f>'Services+PV+Battery Management'!V56</f>
        <v>23.203656746047866</v>
      </c>
      <c r="K16" s="85">
        <f>'Services+PV+Battery Management'!W56</f>
        <v>4842.9388999999992</v>
      </c>
      <c r="L16" s="85">
        <f>'Services+PV+Battery Management'!X56</f>
        <v>5656.0891999999994</v>
      </c>
      <c r="M16" s="85">
        <f>'Services+PV+Battery Management'!AF56</f>
        <v>10523.15641162105</v>
      </c>
    </row>
    <row r="17" spans="2:22" ht="15.5" x14ac:dyDescent="0.35">
      <c r="B17" s="12" t="s">
        <v>17</v>
      </c>
      <c r="C17" s="85">
        <f>'Services+PV Management'!AN27</f>
        <v>4.8776523242095733</v>
      </c>
      <c r="D17" s="85">
        <f>'Services+PV Management'!AO27</f>
        <v>968.58778000000007</v>
      </c>
      <c r="E17" s="85">
        <f>'Services+PV Management'!AP27</f>
        <v>1131.2178400000003</v>
      </c>
      <c r="F17" s="85">
        <f>'Services+PV Management'!W56</f>
        <v>2104.6312823242101</v>
      </c>
      <c r="I17" s="12" t="s">
        <v>17</v>
      </c>
      <c r="J17" s="85">
        <f>'Services+PV+Battery Management'!AT27</f>
        <v>4.640731349209573</v>
      </c>
      <c r="K17" s="85">
        <f>'Services+PV+Battery Management'!AU27</f>
        <v>968.58778000000007</v>
      </c>
      <c r="L17" s="85">
        <f>'Services+PV+Battery Management'!AV27</f>
        <v>1131.2178400000003</v>
      </c>
      <c r="M17" s="85">
        <f>'Services+PV+Battery Management'!AG56</f>
        <v>2104.6312823242101</v>
      </c>
      <c r="O17" s="45"/>
      <c r="P17" s="45"/>
      <c r="Q17" s="45"/>
      <c r="R17" s="45"/>
    </row>
    <row r="18" spans="2:22" ht="15.5" customHeight="1" x14ac:dyDescent="0.35">
      <c r="B18" s="12" t="s">
        <v>147</v>
      </c>
      <c r="C18" s="86">
        <f>'Services+PV Management'!H27</f>
        <v>1.6190099999999998</v>
      </c>
      <c r="D18" s="87">
        <f>'Services+PV Management'!I27</f>
        <v>16.190100000000001</v>
      </c>
      <c r="E18" s="87">
        <f>'Services+PV Management'!J27</f>
        <v>32.380200000000002</v>
      </c>
      <c r="F18" s="87">
        <f>'Services+PV Management'!K27</f>
        <v>50.189309999999999</v>
      </c>
      <c r="I18" s="12" t="s">
        <v>147</v>
      </c>
      <c r="J18" s="86">
        <f>C18</f>
        <v>1.6190099999999998</v>
      </c>
      <c r="K18" s="87">
        <f t="shared" ref="K18" si="5">D18</f>
        <v>16.190100000000001</v>
      </c>
      <c r="L18" s="87">
        <f t="shared" ref="L18:M18" si="6">E18</f>
        <v>32.380200000000002</v>
      </c>
      <c r="M18" s="87">
        <f t="shared" si="6"/>
        <v>50.189309999999999</v>
      </c>
      <c r="O18" s="53"/>
      <c r="P18" s="109" t="s">
        <v>134</v>
      </c>
      <c r="Q18" s="110"/>
      <c r="R18" s="111" t="s">
        <v>135</v>
      </c>
      <c r="S18" s="112"/>
      <c r="T18" s="53"/>
      <c r="U18" s="53"/>
      <c r="V18" s="53"/>
    </row>
    <row r="19" spans="2:22" ht="15.5" customHeight="1" x14ac:dyDescent="0.35">
      <c r="B19" s="12" t="s">
        <v>148</v>
      </c>
      <c r="C19" s="85">
        <f>(C18+C15)/C18</f>
        <v>0.8394389163748216</v>
      </c>
      <c r="D19" s="85">
        <f t="shared" ref="D19:F19" si="7">(D18+D15)/D18</f>
        <v>1</v>
      </c>
      <c r="E19" s="85">
        <f t="shared" si="7"/>
        <v>1</v>
      </c>
      <c r="F19" s="85">
        <f t="shared" si="7"/>
        <v>1</v>
      </c>
      <c r="I19" s="12" t="s">
        <v>148</v>
      </c>
      <c r="J19" s="85">
        <f>(J18+J15)/J18</f>
        <v>1</v>
      </c>
      <c r="K19" s="85">
        <f t="shared" ref="K19:M19" si="8">(K18+K15)/K18</f>
        <v>1</v>
      </c>
      <c r="L19" s="85">
        <f t="shared" si="8"/>
        <v>1</v>
      </c>
      <c r="M19" s="85">
        <f t="shared" si="8"/>
        <v>1</v>
      </c>
      <c r="O19" s="49"/>
      <c r="P19" s="13" t="s">
        <v>138</v>
      </c>
      <c r="Q19" s="101">
        <f>Services!J33</f>
        <v>12.58866736593364</v>
      </c>
      <c r="R19" s="14" t="s">
        <v>142</v>
      </c>
      <c r="S19" s="103">
        <f>Services!L33</f>
        <v>14.723587562495485</v>
      </c>
    </row>
    <row r="20" spans="2:22" ht="15.5" x14ac:dyDescent="0.35">
      <c r="B20" s="19" t="s">
        <v>149</v>
      </c>
      <c r="C20" s="84">
        <f>(C14-C16)/C14</f>
        <v>5.2784519493048722E-2</v>
      </c>
      <c r="D20" s="84">
        <f t="shared" ref="D20:F20" si="9">(D14-D16)/D14</f>
        <v>3.331893431929839E-3</v>
      </c>
      <c r="E20" s="84">
        <f t="shared" si="9"/>
        <v>5.6922517681119132E-3</v>
      </c>
      <c r="F20" s="84">
        <f t="shared" si="9"/>
        <v>4.7467765947885017E-3</v>
      </c>
      <c r="I20" s="19" t="s">
        <v>149</v>
      </c>
      <c r="J20" s="84">
        <f>(J14-J16)/J14</f>
        <v>9.8793377906951349E-2</v>
      </c>
      <c r="K20" s="84">
        <f t="shared" ref="K20:M20" si="10">(K14-K16)/K14</f>
        <v>3.331893431929839E-3</v>
      </c>
      <c r="L20" s="84">
        <f t="shared" si="10"/>
        <v>5.6922517681119132E-3</v>
      </c>
      <c r="M20" s="84">
        <f t="shared" si="10"/>
        <v>4.7467765947885017E-3</v>
      </c>
      <c r="P20" s="13" t="s">
        <v>139</v>
      </c>
      <c r="Q20" s="101">
        <f>Services!J34</f>
        <v>7.239583333333333</v>
      </c>
      <c r="R20" s="14" t="s">
        <v>143</v>
      </c>
      <c r="S20" s="103">
        <f>Services!L34</f>
        <v>2.0684523809523809</v>
      </c>
    </row>
    <row r="21" spans="2:22" ht="15.5" x14ac:dyDescent="0.35">
      <c r="B21" s="12" t="s">
        <v>150</v>
      </c>
      <c r="C21" s="85">
        <f>'Services+PV Management'!X27</f>
        <v>3.1728660186607582</v>
      </c>
      <c r="D21" s="85">
        <f>'Services+PV Management'!Y27</f>
        <v>733.86298333000013</v>
      </c>
      <c r="E21" s="85">
        <f>'Services+PV Management'!Z27</f>
        <v>914.97956843999998</v>
      </c>
      <c r="F21" s="85">
        <f>'Services+PV Management'!X56</f>
        <v>1604.9846164740527</v>
      </c>
      <c r="I21" s="12" t="s">
        <v>150</v>
      </c>
      <c r="J21" s="85">
        <f>'Services+PV+Battery Management'!AB27</f>
        <v>3.0234273051107579</v>
      </c>
      <c r="K21" s="85">
        <f>'Services+PV+Battery Management'!AC27</f>
        <v>733.86298333000013</v>
      </c>
      <c r="L21" s="85">
        <f>'Services+PV+Battery Management'!AD27</f>
        <v>914.97956843999998</v>
      </c>
      <c r="M21" s="85">
        <f>SUM(J21:L21)</f>
        <v>1651.8659790751108</v>
      </c>
      <c r="P21" s="13" t="s">
        <v>140</v>
      </c>
      <c r="Q21" s="101">
        <f>Services!J35</f>
        <v>4.4731267103999999</v>
      </c>
      <c r="R21" s="14" t="s">
        <v>144</v>
      </c>
      <c r="S21" s="104">
        <f>Services!L35</f>
        <v>1.1182816776</v>
      </c>
    </row>
    <row r="22" spans="2:22" ht="15.5" x14ac:dyDescent="0.35">
      <c r="B22" s="12" t="s">
        <v>151</v>
      </c>
      <c r="C22" s="84">
        <f>'Services+PV Management'!AC27</f>
        <v>5.3570183823529412E-2</v>
      </c>
      <c r="D22" s="84">
        <f>'Services+PV Management'!AD27</f>
        <v>0.53570183823529427</v>
      </c>
      <c r="E22" s="84">
        <f>'Services+PV Management'!AE27</f>
        <v>1.0714036764705885</v>
      </c>
      <c r="F22" s="85">
        <f>'Services+PV Management'!AF27</f>
        <v>1.6606756985294122</v>
      </c>
      <c r="I22" s="12" t="s">
        <v>153</v>
      </c>
      <c r="J22" s="85">
        <f>'Services+PV+Battery Management'!H27*('Conversion Technologies'!I8+'Conversion Technologies'!I21)</f>
        <v>0.25594643382352938</v>
      </c>
      <c r="K22" s="85">
        <f>D22</f>
        <v>0.53570183823529427</v>
      </c>
      <c r="L22" s="85">
        <f t="shared" ref="L22:M22" si="11">E22</f>
        <v>1.0714036764705885</v>
      </c>
      <c r="M22" s="85">
        <f t="shared" si="11"/>
        <v>1.6606756985294122</v>
      </c>
      <c r="P22" s="13" t="s">
        <v>141</v>
      </c>
      <c r="Q22" s="102">
        <f>Services!J36</f>
        <v>0</v>
      </c>
      <c r="R22" s="14" t="s">
        <v>145</v>
      </c>
      <c r="S22" s="93">
        <f>Services!L36</f>
        <v>0</v>
      </c>
    </row>
    <row r="23" spans="2:22" ht="15.5" x14ac:dyDescent="0.35">
      <c r="B23" s="12" t="s">
        <v>152</v>
      </c>
      <c r="C23" s="84">
        <f>'Services+PV Management'!AI27</f>
        <v>1.7156700000000004E-2</v>
      </c>
      <c r="D23" s="84">
        <f>'Services+PV Management'!AJ27</f>
        <v>0</v>
      </c>
      <c r="E23" s="84">
        <f>'Services+PV Management'!AK27</f>
        <v>0</v>
      </c>
      <c r="F23" s="84">
        <f>'Services+PV Management'!Y56</f>
        <v>0</v>
      </c>
      <c r="I23" s="12" t="s">
        <v>152</v>
      </c>
      <c r="J23" s="17">
        <f>'Services+PV+Battery Management'!AO27</f>
        <v>0</v>
      </c>
      <c r="K23" s="17">
        <f>'Services+PV+Battery Management'!AP27</f>
        <v>0</v>
      </c>
      <c r="L23" s="17">
        <f>'Services+PV+Battery Management'!AQ27</f>
        <v>0</v>
      </c>
      <c r="M23" s="88">
        <f>'Services+PV+Battery Management'!AH56</f>
        <v>0</v>
      </c>
    </row>
    <row r="24" spans="2:22" ht="15.5" x14ac:dyDescent="0.35">
      <c r="B24" s="12" t="s">
        <v>201</v>
      </c>
      <c r="C24" s="84">
        <f>C21+C22-C23</f>
        <v>3.2092795024842875</v>
      </c>
      <c r="D24" s="85">
        <f t="shared" ref="D24:F24" si="12">D21+D22-D23</f>
        <v>734.39868516823537</v>
      </c>
      <c r="E24" s="84">
        <f t="shared" si="12"/>
        <v>916.05097211647058</v>
      </c>
      <c r="F24" s="85">
        <f t="shared" si="12"/>
        <v>1606.645292172582</v>
      </c>
      <c r="I24" s="12" t="s">
        <v>201</v>
      </c>
      <c r="J24" s="85">
        <f>J21+J22-J23</f>
        <v>3.2793737389342872</v>
      </c>
      <c r="K24" s="85">
        <f t="shared" ref="K24:M24" si="13">K21+K22-K23</f>
        <v>734.39868516823537</v>
      </c>
      <c r="L24" s="85">
        <f t="shared" si="13"/>
        <v>916.05097211647058</v>
      </c>
      <c r="M24" s="85">
        <f t="shared" si="13"/>
        <v>1653.5266547736401</v>
      </c>
    </row>
    <row r="25" spans="2:22" x14ac:dyDescent="0.35">
      <c r="T25" t="s">
        <v>281</v>
      </c>
    </row>
    <row r="28" spans="2:22" x14ac:dyDescent="0.35">
      <c r="J28" s="33"/>
    </row>
  </sheetData>
  <mergeCells count="9">
    <mergeCell ref="P18:Q18"/>
    <mergeCell ref="R18:S18"/>
    <mergeCell ref="B2:F2"/>
    <mergeCell ref="I2:M2"/>
    <mergeCell ref="P2:T2"/>
    <mergeCell ref="B11:F11"/>
    <mergeCell ref="I11:M11"/>
    <mergeCell ref="P3:Q3"/>
    <mergeCell ref="R3:S3"/>
  </mergeCells>
  <pageMargins left="0.7" right="0.7" top="0.75" bottom="0.75" header="0.3" footer="0.3"/>
  <ignoredErrors>
    <ignoredError sqref="K17:M1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10397-2FD4-4DDE-9819-3C507485B3ED}">
  <sheetPr codeName="Sheet16"/>
  <dimension ref="B1:AU48"/>
  <sheetViews>
    <sheetView zoomScale="40" zoomScaleNormal="40" workbookViewId="0">
      <selection activeCell="P47" sqref="P47"/>
    </sheetView>
  </sheetViews>
  <sheetFormatPr defaultRowHeight="14.5" x14ac:dyDescent="0.35"/>
  <cols>
    <col min="43" max="43" width="12.90625" customWidth="1"/>
    <col min="44" max="44" width="14.36328125" customWidth="1"/>
    <col min="45" max="45" width="27.26953125" customWidth="1"/>
    <col min="46" max="46" width="33.08984375" customWidth="1"/>
    <col min="47" max="47" width="40.90625" customWidth="1"/>
  </cols>
  <sheetData>
    <row r="1" spans="2:47" ht="14.5" customHeight="1" x14ac:dyDescent="0.35">
      <c r="B1" s="120" t="s">
        <v>249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C1" s="122" t="s">
        <v>256</v>
      </c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Q1" s="21" t="s">
        <v>9</v>
      </c>
      <c r="AR1" s="21" t="s">
        <v>252</v>
      </c>
      <c r="AS1" s="21" t="s">
        <v>253</v>
      </c>
      <c r="AT1" s="21" t="s">
        <v>254</v>
      </c>
      <c r="AU1" s="21" t="s">
        <v>255</v>
      </c>
    </row>
    <row r="2" spans="2:47" ht="14.5" customHeight="1" x14ac:dyDescent="0.35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Q2" s="21" t="s">
        <v>228</v>
      </c>
      <c r="AR2" s="66">
        <f>Outputs!C6</f>
        <v>7.8369999999999997</v>
      </c>
      <c r="AS2" s="66">
        <f>Outputs!J6</f>
        <v>25.747321621047867</v>
      </c>
      <c r="AT2" s="66">
        <f>Outputs!C16</f>
        <v>24.388261621047871</v>
      </c>
      <c r="AU2" s="66">
        <f>Outputs!J16</f>
        <v>23.203656746047866</v>
      </c>
    </row>
    <row r="3" spans="2:47" ht="14.5" customHeight="1" x14ac:dyDescent="0.35"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Q3" s="21" t="s">
        <v>229</v>
      </c>
      <c r="AR3" s="66">
        <f>Outputs!D6</f>
        <v>4859.128999999999</v>
      </c>
      <c r="AS3" s="66">
        <f>Outputs!K6</f>
        <v>4859.128999999999</v>
      </c>
      <c r="AT3" s="66">
        <f>Outputs!D16</f>
        <v>4842.9388999999992</v>
      </c>
      <c r="AU3" s="66">
        <f>Outputs!K16</f>
        <v>4842.9388999999992</v>
      </c>
    </row>
    <row r="4" spans="2:47" x14ac:dyDescent="0.35">
      <c r="AQ4" s="21" t="s">
        <v>230</v>
      </c>
      <c r="AR4" s="66">
        <f>Outputs!E6</f>
        <v>5688.4694</v>
      </c>
      <c r="AS4" s="66">
        <f>Outputs!L6</f>
        <v>5688.4694</v>
      </c>
      <c r="AT4" s="66">
        <f>Outputs!E16</f>
        <v>5656.0891999999994</v>
      </c>
      <c r="AU4" s="66">
        <f>Outputs!L16</f>
        <v>5656.0891999999994</v>
      </c>
    </row>
    <row r="5" spans="2:47" x14ac:dyDescent="0.35">
      <c r="AQ5" s="21" t="s">
        <v>8</v>
      </c>
      <c r="AR5" s="66">
        <f>Outputs!F6</f>
        <v>10555.435399999998</v>
      </c>
      <c r="AS5" s="66">
        <f>Outputs!M6</f>
        <v>10573.345721621048</v>
      </c>
      <c r="AT5" s="66">
        <f>Outputs!F16</f>
        <v>10523.15641162105</v>
      </c>
      <c r="AU5" s="66">
        <f>Outputs!M16</f>
        <v>10523.15641162105</v>
      </c>
    </row>
    <row r="8" spans="2:47" x14ac:dyDescent="0.35">
      <c r="AQ8" s="21" t="s">
        <v>275</v>
      </c>
      <c r="AR8" s="21" t="s">
        <v>252</v>
      </c>
      <c r="AS8" s="21" t="s">
        <v>253</v>
      </c>
      <c r="AT8" s="21" t="s">
        <v>254</v>
      </c>
      <c r="AU8" s="21" t="s">
        <v>255</v>
      </c>
    </row>
    <row r="9" spans="2:47" x14ac:dyDescent="0.35">
      <c r="AQ9" s="21" t="s">
        <v>228</v>
      </c>
      <c r="AR9" s="66">
        <f>Outputs!C7</f>
        <v>1.5674000000000003</v>
      </c>
      <c r="AS9" s="66">
        <f>Outputs!J7</f>
        <v>5.149464324209573</v>
      </c>
      <c r="AT9" s="66">
        <f>Outputs!C17</f>
        <v>4.8776523242095733</v>
      </c>
      <c r="AU9" s="66">
        <f>Outputs!J17</f>
        <v>4.640731349209573</v>
      </c>
    </row>
    <row r="10" spans="2:47" x14ac:dyDescent="0.35">
      <c r="AQ10" s="21" t="s">
        <v>229</v>
      </c>
      <c r="AR10" s="66">
        <f>Outputs!D7</f>
        <v>971.82580000000019</v>
      </c>
      <c r="AS10" s="66">
        <f>Outputs!K7</f>
        <v>971.82580000000019</v>
      </c>
      <c r="AT10" s="66">
        <f>Outputs!D17</f>
        <v>968.58778000000007</v>
      </c>
      <c r="AU10" s="66">
        <f>Outputs!K17</f>
        <v>968.58778000000007</v>
      </c>
    </row>
    <row r="11" spans="2:47" x14ac:dyDescent="0.35">
      <c r="AQ11" s="21" t="s">
        <v>230</v>
      </c>
      <c r="AR11" s="66">
        <f>Outputs!E7</f>
        <v>1137.6938800000003</v>
      </c>
      <c r="AS11" s="66">
        <f>Outputs!L7</f>
        <v>1137.6938800000003</v>
      </c>
      <c r="AT11" s="66">
        <f>Outputs!E17</f>
        <v>1131.2178400000003</v>
      </c>
      <c r="AU11" s="66">
        <f>Outputs!L17</f>
        <v>1131.2178400000003</v>
      </c>
    </row>
    <row r="12" spans="2:47" x14ac:dyDescent="0.35">
      <c r="AQ12" s="21" t="s">
        <v>8</v>
      </c>
      <c r="AR12" s="66">
        <f>Outputs!F7</f>
        <v>2111.0870800000002</v>
      </c>
      <c r="AS12" s="66">
        <f>Outputs!M7</f>
        <v>2114.6691443242098</v>
      </c>
      <c r="AT12" s="66">
        <f>Outputs!F17</f>
        <v>2104.6312823242101</v>
      </c>
      <c r="AU12" s="66">
        <f>Outputs!M17</f>
        <v>2104.6312823242101</v>
      </c>
    </row>
    <row r="15" spans="2:47" x14ac:dyDescent="0.35">
      <c r="AQ15" s="21" t="s">
        <v>204</v>
      </c>
      <c r="AR15" s="21" t="s">
        <v>252</v>
      </c>
      <c r="AS15" s="21" t="s">
        <v>253</v>
      </c>
      <c r="AT15" s="21" t="s">
        <v>254</v>
      </c>
      <c r="AU15" s="21" t="s">
        <v>255</v>
      </c>
    </row>
    <row r="16" spans="2:47" x14ac:dyDescent="0.35">
      <c r="AQ16" s="21" t="s">
        <v>228</v>
      </c>
      <c r="AR16" s="66">
        <f>Outputs!C8</f>
        <v>1.4541977999999998</v>
      </c>
      <c r="AS16" s="66">
        <f>Outputs!J8</f>
        <v>3.4386981546607576</v>
      </c>
      <c r="AT16" s="66">
        <f>Outputs!C24</f>
        <v>3.2092795024842875</v>
      </c>
      <c r="AU16" s="66">
        <f>Outputs!J24</f>
        <v>3.2793737389342872</v>
      </c>
    </row>
    <row r="17" spans="2:47" x14ac:dyDescent="0.35">
      <c r="AQ17" s="21" t="s">
        <v>229</v>
      </c>
      <c r="AR17" s="66">
        <f>Outputs!D8</f>
        <v>736.45668079999996</v>
      </c>
      <c r="AS17" s="66">
        <f>Outputs!K8</f>
        <v>736.45668079999996</v>
      </c>
      <c r="AT17" s="66">
        <f>Outputs!D24</f>
        <v>734.39868516823537</v>
      </c>
      <c r="AU17" s="66">
        <f>Outputs!K24</f>
        <v>734.39868516823537</v>
      </c>
    </row>
    <row r="18" spans="2:47" x14ac:dyDescent="0.35">
      <c r="AQ18" s="21" t="s">
        <v>230</v>
      </c>
      <c r="AR18" s="66">
        <f>Outputs!E8</f>
        <v>920.44633620000002</v>
      </c>
      <c r="AS18" s="66">
        <f>Outputs!L8</f>
        <v>920.44633620000002</v>
      </c>
      <c r="AT18" s="66">
        <f>Outputs!E24</f>
        <v>916.05097211647058</v>
      </c>
      <c r="AU18" s="66">
        <f>Outputs!L24</f>
        <v>916.05097211647058</v>
      </c>
    </row>
    <row r="19" spans="2:47" x14ac:dyDescent="0.35">
      <c r="AQ19" s="21" t="s">
        <v>8</v>
      </c>
      <c r="AR19" s="66">
        <f>Outputs!F8</f>
        <v>1611.3300466400003</v>
      </c>
      <c r="AS19" s="66">
        <f>Outputs!M8</f>
        <v>1613.0250786310526</v>
      </c>
      <c r="AT19" s="66">
        <f>Outputs!F24</f>
        <v>1606.645292172582</v>
      </c>
      <c r="AU19" s="66">
        <f>Outputs!M24</f>
        <v>1653.5266547736401</v>
      </c>
    </row>
    <row r="24" spans="2:47" ht="14.5" customHeight="1" x14ac:dyDescent="0.35">
      <c r="B24" s="121" t="s">
        <v>250</v>
      </c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65"/>
      <c r="N24" s="65"/>
      <c r="O24" s="65"/>
      <c r="P24" s="65"/>
      <c r="Q24" s="121" t="s">
        <v>251</v>
      </c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C24" s="123" t="s">
        <v>273</v>
      </c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Q24" s="118" t="s">
        <v>175</v>
      </c>
      <c r="AR24" s="118"/>
      <c r="AS24" s="118"/>
      <c r="AT24" s="118"/>
    </row>
    <row r="25" spans="2:47" ht="14.5" customHeight="1" x14ac:dyDescent="0.35"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65"/>
      <c r="N25" s="65"/>
      <c r="O25" s="65"/>
      <c r="P25" s="65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Q25" s="118"/>
      <c r="AR25" s="118"/>
      <c r="AS25" s="118"/>
      <c r="AT25" s="118"/>
    </row>
    <row r="47" spans="29:46" x14ac:dyDescent="0.35">
      <c r="AC47" s="117" t="s">
        <v>274</v>
      </c>
      <c r="AD47" s="117"/>
      <c r="AE47" s="117"/>
      <c r="AF47" s="117"/>
      <c r="AG47" s="117"/>
      <c r="AH47" s="117"/>
      <c r="AI47" s="117"/>
      <c r="AJ47" s="117"/>
      <c r="AK47" s="117"/>
      <c r="AL47" s="117"/>
      <c r="AM47" s="117"/>
      <c r="AN47" s="117"/>
      <c r="AO47" s="117"/>
      <c r="AQ47" s="119" t="s">
        <v>276</v>
      </c>
      <c r="AR47" s="119"/>
      <c r="AS47" s="119"/>
      <c r="AT47" s="119"/>
    </row>
    <row r="48" spans="29:46" x14ac:dyDescent="0.35">
      <c r="AC48" s="117"/>
      <c r="AD48" s="117"/>
      <c r="AE48" s="117"/>
      <c r="AF48" s="117"/>
      <c r="AG48" s="117"/>
      <c r="AH48" s="117"/>
      <c r="AI48" s="117"/>
      <c r="AJ48" s="117"/>
      <c r="AK48" s="117"/>
      <c r="AL48" s="117"/>
      <c r="AM48" s="117"/>
      <c r="AN48" s="117"/>
      <c r="AO48" s="117"/>
      <c r="AQ48" s="119"/>
      <c r="AR48" s="119"/>
      <c r="AS48" s="119"/>
      <c r="AT48" s="119"/>
    </row>
  </sheetData>
  <mergeCells count="8">
    <mergeCell ref="AC47:AO48"/>
    <mergeCell ref="AQ24:AT25"/>
    <mergeCell ref="AQ47:AT48"/>
    <mergeCell ref="B1:AA2"/>
    <mergeCell ref="B24:L25"/>
    <mergeCell ref="Q24:AA25"/>
    <mergeCell ref="AC1:AO2"/>
    <mergeCell ref="AC24:AO25"/>
  </mergeCells>
  <pageMargins left="0.7" right="0.7" top="0.75" bottom="0.75" header="0.3" footer="0.3"/>
  <pageSetup paperSize="9" orientation="portrait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8C14A-0721-4C9A-BD7F-23AB5BFC82A1}">
  <sheetPr codeName="Sheet3"/>
  <dimension ref="A1:Y71"/>
  <sheetViews>
    <sheetView topLeftCell="A15" zoomScale="60" zoomScaleNormal="60" workbookViewId="0">
      <selection activeCell="E46" sqref="E46"/>
    </sheetView>
  </sheetViews>
  <sheetFormatPr defaultRowHeight="14.5" x14ac:dyDescent="0.35"/>
  <cols>
    <col min="1" max="1" width="12.453125" customWidth="1"/>
    <col min="2" max="2" width="20.26953125" customWidth="1"/>
    <col min="3" max="3" width="29.7265625" customWidth="1"/>
    <col min="4" max="4" width="23.1796875" customWidth="1"/>
    <col min="5" max="5" width="24.54296875" customWidth="1"/>
    <col min="6" max="6" width="18.453125" customWidth="1"/>
    <col min="7" max="7" width="15.453125" customWidth="1"/>
    <col min="8" max="8" width="11.1796875" customWidth="1"/>
    <col min="9" max="9" width="25.6328125" customWidth="1"/>
    <col min="10" max="10" width="23.54296875" customWidth="1"/>
    <col min="11" max="11" width="31.7265625" customWidth="1"/>
    <col min="12" max="12" width="10.81640625" bestFit="1" customWidth="1"/>
    <col min="13" max="13" width="11.08984375" customWidth="1"/>
    <col min="14" max="14" width="21" customWidth="1"/>
    <col min="15" max="15" width="18.7265625" customWidth="1"/>
    <col min="16" max="16" width="18.6328125" customWidth="1"/>
    <col min="17" max="17" width="23.54296875" customWidth="1"/>
    <col min="18" max="18" width="21" customWidth="1"/>
    <col min="19" max="19" width="21.7265625" customWidth="1"/>
    <col min="20" max="20" width="22.7265625" customWidth="1"/>
    <col min="21" max="21" width="15.7265625" customWidth="1"/>
    <col min="22" max="22" width="25.36328125" customWidth="1"/>
    <col min="23" max="23" width="16" customWidth="1"/>
    <col min="24" max="24" width="25.1796875" customWidth="1"/>
    <col min="25" max="25" width="21.7265625" customWidth="1"/>
  </cols>
  <sheetData>
    <row r="1" spans="1:25" ht="18.5" x14ac:dyDescent="0.45">
      <c r="A1" s="107" t="s">
        <v>28</v>
      </c>
      <c r="B1" s="107"/>
      <c r="C1" s="107"/>
      <c r="D1" s="107"/>
      <c r="E1" s="107"/>
      <c r="F1" s="107"/>
      <c r="H1" s="107" t="s">
        <v>32</v>
      </c>
      <c r="I1" s="107"/>
      <c r="J1" s="107"/>
      <c r="K1" s="107"/>
      <c r="L1" s="1"/>
      <c r="M1" s="5"/>
      <c r="N1" s="9" t="s">
        <v>132</v>
      </c>
      <c r="O1" s="8" t="s">
        <v>131</v>
      </c>
      <c r="P1" s="7" t="s">
        <v>125</v>
      </c>
      <c r="Q1" s="124" t="s">
        <v>126</v>
      </c>
      <c r="R1" s="124"/>
      <c r="S1" s="124"/>
      <c r="T1" s="124"/>
      <c r="U1" s="126" t="s">
        <v>127</v>
      </c>
      <c r="V1" s="126"/>
      <c r="W1" s="126"/>
      <c r="X1" s="126"/>
      <c r="Y1" s="79" t="s">
        <v>130</v>
      </c>
    </row>
    <row r="2" spans="1:25" x14ac:dyDescent="0.35">
      <c r="A2" s="1" t="s">
        <v>3</v>
      </c>
      <c r="B2" s="1" t="s">
        <v>4</v>
      </c>
      <c r="C2" s="1" t="s">
        <v>5</v>
      </c>
      <c r="D2" s="1" t="s">
        <v>23</v>
      </c>
      <c r="E2" s="1" t="s">
        <v>24</v>
      </c>
      <c r="F2" s="1" t="s">
        <v>6</v>
      </c>
      <c r="H2" s="1" t="s">
        <v>3</v>
      </c>
      <c r="I2" s="1" t="s">
        <v>29</v>
      </c>
      <c r="J2" s="1" t="s">
        <v>30</v>
      </c>
      <c r="K2" s="1" t="s">
        <v>31</v>
      </c>
      <c r="M2" s="1" t="s">
        <v>3</v>
      </c>
      <c r="N2" s="1" t="s">
        <v>115</v>
      </c>
      <c r="O2" s="1" t="s">
        <v>116</v>
      </c>
      <c r="P2" s="1" t="s">
        <v>117</v>
      </c>
      <c r="Q2" s="1" t="s">
        <v>118</v>
      </c>
      <c r="R2" s="1" t="s">
        <v>119</v>
      </c>
      <c r="S2" s="1" t="s">
        <v>120</v>
      </c>
      <c r="T2" s="1" t="s">
        <v>121</v>
      </c>
      <c r="U2" s="1" t="s">
        <v>122</v>
      </c>
      <c r="V2" s="1" t="s">
        <v>219</v>
      </c>
      <c r="W2" s="1" t="s">
        <v>123</v>
      </c>
      <c r="X2" s="1" t="s">
        <v>220</v>
      </c>
      <c r="Y2" s="1" t="s">
        <v>136</v>
      </c>
    </row>
    <row r="3" spans="1:25" x14ac:dyDescent="0.35">
      <c r="A3" s="1">
        <f>climate_data__5[[#This Row],[Hour]]</f>
        <v>0</v>
      </c>
      <c r="B3" s="1">
        <f>climate_data__5[[#This Row],[Temperature (ºC)]]</f>
        <v>15.95</v>
      </c>
      <c r="C3" s="1">
        <f>climate_data__5[[#This Row],[Wind 10m (m/s)]]</f>
        <v>2.4500000000000002</v>
      </c>
      <c r="D3" s="1" t="str">
        <f>climate_data__5[[#This Row],[Irradiance 0º (W/m2)]]</f>
        <v>0</v>
      </c>
      <c r="E3" s="1" t="str">
        <f>climate_data__5[[#This Row],[Irradiance 90º W(W/m2)]]</f>
        <v>0</v>
      </c>
      <c r="F3" s="1">
        <f>climate_data__5[[#This Row],[PV Power (W)]]</f>
        <v>0</v>
      </c>
      <c r="H3" s="1">
        <f>occupation__4[[#This Row],[Hour]]</f>
        <v>0</v>
      </c>
      <c r="I3" s="1">
        <f>occupation__4[[#This Row],[Occupation Building1]]</f>
        <v>5</v>
      </c>
      <c r="J3" s="1">
        <f>occupation__4[[#This Row],[Occupation Building2]]</f>
        <v>0</v>
      </c>
      <c r="K3" s="1">
        <f>occupation__4[[#This Row],[Occupation Building3]]</f>
        <v>0</v>
      </c>
      <c r="M3" s="1">
        <f>final_electricity__13[[#This Row],[Hour]]</f>
        <v>0</v>
      </c>
      <c r="N3" s="1">
        <f>-($D$43*$D$58 + $D$59*occupation__114[[#This Row],[Occupation Building1]])</f>
        <v>-920</v>
      </c>
      <c r="O3" s="1">
        <f>-(climate_data213[[#This Row],[Irradiance 90º W(W/m2)]]*$D$46*$D$54)</f>
        <v>0</v>
      </c>
      <c r="P3" s="1">
        <f>-($D$55*$D$44*$D$57*$D$56*(climate_data213[[#This Row],[Temperature (ºC)]]-$D$50)/3.6)</f>
        <v>140.56626600000001</v>
      </c>
      <c r="Q3" s="1">
        <f>-($D$48*$D$47*(climate_data213[[#This Row],[Temperature (ºC)]]-$D$50))</f>
        <v>393.66000000000008</v>
      </c>
      <c r="R3" s="1">
        <f t="shared" ref="R3:R26" si="0">-($D$48*$D$43*($D$53-$D$50))</f>
        <v>0</v>
      </c>
      <c r="S3" s="1">
        <f>-($D$48*$D$43*(climate_data213[[#This Row],[Temperature (ºC)]]-$D$50))</f>
        <v>388.80000000000007</v>
      </c>
      <c r="T3" s="1">
        <f>-($D$49*$D$46*(climate_data213[[#This Row],[Temperature (ºC)]]-$D$50))</f>
        <v>251.50500000000002</v>
      </c>
      <c r="U3" s="1">
        <f>IF(AND(climate_data213[[#This Row],[Temperature (ºC)]] &lt; 16,occupation__114[[#This Row],[Occupation Building1]]&gt;0), SUM(climate_data21317[[#This Row],[Internal gains (W)]]:climate_data21317[[#This Row],[Cond. Windows (W)]]),0)</f>
        <v>254.53126600000022</v>
      </c>
      <c r="V3" s="1">
        <f>climate_data21317[[#This Row],[Heating(W)]]/Inputs!$H$51</f>
        <v>63.632816500000054</v>
      </c>
      <c r="W3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3" s="1">
        <f>climate_data21317[[#This Row],[Cooling (W)]]/Inputs!$H$52</f>
        <v>0</v>
      </c>
      <c r="Y3" s="1">
        <f>($D$63*MAX(occupation__114[[#This Row],[Occupation Building1]]:I26)*$D$65*$D$64*($D$62-$D$61))/(24*1000)</f>
        <v>1085.9375</v>
      </c>
    </row>
    <row r="4" spans="1:25" x14ac:dyDescent="0.35">
      <c r="A4" s="1">
        <f>climate_data__5[[#This Row],[Hour]]</f>
        <v>1</v>
      </c>
      <c r="B4" s="1">
        <f>climate_data__5[[#This Row],[Temperature (ºC)]]</f>
        <v>15.78</v>
      </c>
      <c r="C4" s="1">
        <f>climate_data__5[[#This Row],[Wind 10m (m/s)]]</f>
        <v>2.23</v>
      </c>
      <c r="D4" s="1" t="str">
        <f>climate_data__5[[#This Row],[Irradiance 0º (W/m2)]]</f>
        <v>0</v>
      </c>
      <c r="E4" s="1" t="str">
        <f>climate_data__5[[#This Row],[Irradiance 90º W(W/m2)]]</f>
        <v>0</v>
      </c>
      <c r="F4" s="1" t="str">
        <f>climate_data__5[[#This Row],[PV Power (W)]]</f>
        <v>0</v>
      </c>
      <c r="H4" s="1">
        <f>occupation__4[[#This Row],[Hour]]</f>
        <v>1</v>
      </c>
      <c r="I4" s="1">
        <f>occupation__4[[#This Row],[Occupation Building1]]</f>
        <v>5</v>
      </c>
      <c r="J4" s="1">
        <f>occupation__4[[#This Row],[Occupation Building2]]</f>
        <v>0</v>
      </c>
      <c r="K4" s="1">
        <f>occupation__4[[#This Row],[Occupation Building3]]</f>
        <v>0</v>
      </c>
      <c r="M4" s="1">
        <f>final_electricity__13[[#This Row],[Hour]]</f>
        <v>1</v>
      </c>
      <c r="N4" s="1">
        <f>-($D$43*$D$58 + $D$59*occupation__114[[#This Row],[Occupation Building1]])</f>
        <v>-920</v>
      </c>
      <c r="O4" s="1">
        <f>-(climate_data213[[#This Row],[Irradiance 90º W(W/m2)]]*$D$46*$D$54)</f>
        <v>0</v>
      </c>
      <c r="P4" s="1">
        <f>-($D$55*$D$44*$D$57*$D$56*(climate_data213[[#This Row],[Temperature (ºC)]]-$D$50)/3.6)</f>
        <v>146.4665784</v>
      </c>
      <c r="Q4" s="1">
        <f>-($D$48*$D$47*(climate_data213[[#This Row],[Temperature (ºC)]]-$D$50))</f>
        <v>410.18400000000008</v>
      </c>
      <c r="R4" s="1">
        <f t="shared" si="0"/>
        <v>0</v>
      </c>
      <c r="S4" s="1">
        <f>-($D$48*$D$43*(climate_data213[[#This Row],[Temperature (ºC)]]-$D$50))</f>
        <v>405.12000000000006</v>
      </c>
      <c r="T4" s="1">
        <f>-($D$49*$D$46*(climate_data213[[#This Row],[Temperature (ºC)]]-$D$50))</f>
        <v>262.06200000000001</v>
      </c>
      <c r="U4" s="1">
        <f>IF(AND(climate_data213[[#This Row],[Temperature (ºC)]] &lt; 16,occupation__114[[#This Row],[Occupation Building1]]&gt;0), SUM(climate_data21317[[#This Row],[Internal gains (W)]]:climate_data21317[[#This Row],[Cond. Windows (W)]]),0)</f>
        <v>303.83257840000016</v>
      </c>
      <c r="V4" s="1">
        <f>climate_data21317[[#This Row],[Heating(W)]]/Inputs!$H$51</f>
        <v>75.95814460000004</v>
      </c>
      <c r="W4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4" s="1">
        <f>climate_data21317[[#This Row],[Cooling (W)]]/Inputs!$H$52</f>
        <v>0</v>
      </c>
      <c r="Y4" s="1">
        <f>($D$63*MAX(occupation__114[[#This Row],[Occupation Building1]]:I27)*$D$65*$D$64*($D$62-$D$61))/(24*1000)</f>
        <v>1085.9375</v>
      </c>
    </row>
    <row r="5" spans="1:25" x14ac:dyDescent="0.35">
      <c r="A5" s="1">
        <f>climate_data__5[[#This Row],[Hour]]</f>
        <v>2</v>
      </c>
      <c r="B5" s="1">
        <f>climate_data__5[[#This Row],[Temperature (ºC)]]</f>
        <v>15.56</v>
      </c>
      <c r="C5" s="1">
        <f>climate_data__5[[#This Row],[Wind 10m (m/s)]]</f>
        <v>1.94</v>
      </c>
      <c r="D5" s="1" t="str">
        <f>climate_data__5[[#This Row],[Irradiance 0º (W/m2)]]</f>
        <v>0</v>
      </c>
      <c r="E5" s="1" t="str">
        <f>climate_data__5[[#This Row],[Irradiance 90º W(W/m2)]]</f>
        <v>0</v>
      </c>
      <c r="F5" s="1" t="str">
        <f>climate_data__5[[#This Row],[PV Power (W)]]</f>
        <v>0</v>
      </c>
      <c r="H5" s="1">
        <f>occupation__4[[#This Row],[Hour]]</f>
        <v>2</v>
      </c>
      <c r="I5" s="1">
        <f>occupation__4[[#This Row],[Occupation Building1]]</f>
        <v>5</v>
      </c>
      <c r="J5" s="1">
        <f>occupation__4[[#This Row],[Occupation Building2]]</f>
        <v>0</v>
      </c>
      <c r="K5" s="1">
        <f>occupation__4[[#This Row],[Occupation Building3]]</f>
        <v>0</v>
      </c>
      <c r="M5" s="1">
        <f>final_electricity__13[[#This Row],[Hour]]</f>
        <v>2</v>
      </c>
      <c r="N5" s="1">
        <f>-($D$43*$D$58 + $D$59*occupation__114[[#This Row],[Occupation Building1]])</f>
        <v>-920</v>
      </c>
      <c r="O5" s="1">
        <f>-(climate_data213[[#This Row],[Irradiance 90º W(W/m2)]]*$D$46*$D$54)</f>
        <v>0</v>
      </c>
      <c r="P5" s="1">
        <f>-($D$55*$D$44*$D$57*$D$56*(climate_data213[[#This Row],[Temperature (ºC)]]-$D$50)/3.6)</f>
        <v>154.10227679999997</v>
      </c>
      <c r="Q5" s="1">
        <f>-($D$48*$D$47*(climate_data213[[#This Row],[Temperature (ºC)]]-$D$50))</f>
        <v>431.56799999999998</v>
      </c>
      <c r="R5" s="1">
        <f t="shared" si="0"/>
        <v>0</v>
      </c>
      <c r="S5" s="1">
        <f>-($D$48*$D$43*(climate_data213[[#This Row],[Temperature (ºC)]]-$D$50))</f>
        <v>426.23999999999995</v>
      </c>
      <c r="T5" s="1">
        <f>-($D$49*$D$46*(climate_data213[[#This Row],[Temperature (ºC)]]-$D$50))</f>
        <v>275.72399999999993</v>
      </c>
      <c r="U5" s="1">
        <f>IF(AND(climate_data213[[#This Row],[Temperature (ºC)]] &lt; 16,occupation__114[[#This Row],[Occupation Building1]]&gt;0), SUM(climate_data21317[[#This Row],[Internal gains (W)]]:climate_data21317[[#This Row],[Cond. Windows (W)]]),0)</f>
        <v>367.6342767999999</v>
      </c>
      <c r="V5" s="1">
        <f>climate_data21317[[#This Row],[Heating(W)]]/Inputs!$H$51</f>
        <v>91.908569199999974</v>
      </c>
      <c r="W5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5" s="1">
        <f>climate_data21317[[#This Row],[Cooling (W)]]/Inputs!$H$52</f>
        <v>0</v>
      </c>
      <c r="Y5" s="1">
        <f>($D$63*MAX(occupation__114[[#This Row],[Occupation Building1]]:I28)*$D$65*$D$64*($D$62-$D$61))/(24*1000)</f>
        <v>1085.9375</v>
      </c>
    </row>
    <row r="6" spans="1:25" x14ac:dyDescent="0.35">
      <c r="A6" s="1">
        <f>climate_data__5[[#This Row],[Hour]]</f>
        <v>3</v>
      </c>
      <c r="B6" s="1">
        <f>climate_data__5[[#This Row],[Temperature (ºC)]]</f>
        <v>15.34</v>
      </c>
      <c r="C6" s="1">
        <f>climate_data__5[[#This Row],[Wind 10m (m/s)]]</f>
        <v>1.64</v>
      </c>
      <c r="D6" s="1" t="str">
        <f>climate_data__5[[#This Row],[Irradiance 0º (W/m2)]]</f>
        <v>0</v>
      </c>
      <c r="E6" s="1" t="str">
        <f>climate_data__5[[#This Row],[Irradiance 90º W(W/m2)]]</f>
        <v>0</v>
      </c>
      <c r="F6" s="1" t="str">
        <f>climate_data__5[[#This Row],[PV Power (W)]]</f>
        <v>0</v>
      </c>
      <c r="H6" s="1">
        <f>occupation__4[[#This Row],[Hour]]</f>
        <v>3</v>
      </c>
      <c r="I6" s="1">
        <f>occupation__4[[#This Row],[Occupation Building1]]</f>
        <v>5</v>
      </c>
      <c r="J6" s="1">
        <f>occupation__4[[#This Row],[Occupation Building2]]</f>
        <v>0</v>
      </c>
      <c r="K6" s="1">
        <f>occupation__4[[#This Row],[Occupation Building3]]</f>
        <v>0</v>
      </c>
      <c r="M6" s="1">
        <f>final_electricity__13[[#This Row],[Hour]]</f>
        <v>3</v>
      </c>
      <c r="N6" s="1">
        <f>-($D$43*$D$58 + $D$59*occupation__114[[#This Row],[Occupation Building1]])</f>
        <v>-920</v>
      </c>
      <c r="O6" s="1">
        <f>-(climate_data213[[#This Row],[Irradiance 90º W(W/m2)]]*$D$46*$D$54)</f>
        <v>0</v>
      </c>
      <c r="P6" s="1">
        <f>-($D$55*$D$44*$D$57*$D$56*(climate_data213[[#This Row],[Temperature (ºC)]]-$D$50)/3.6)</f>
        <v>161.73797519999999</v>
      </c>
      <c r="Q6" s="1">
        <f>-($D$48*$D$47*(climate_data213[[#This Row],[Temperature (ºC)]]-$D$50))</f>
        <v>452.95200000000006</v>
      </c>
      <c r="R6" s="1">
        <f t="shared" si="0"/>
        <v>0</v>
      </c>
      <c r="S6" s="1">
        <f>-($D$48*$D$43*(climate_data213[[#This Row],[Temperature (ºC)]]-$D$50))</f>
        <v>447.36</v>
      </c>
      <c r="T6" s="1">
        <f>-($D$49*$D$46*(climate_data213[[#This Row],[Temperature (ºC)]]-$D$50))</f>
        <v>289.38599999999997</v>
      </c>
      <c r="U6" s="1">
        <f>IF(AND(climate_data213[[#This Row],[Temperature (ºC)]] &lt; 16,occupation__114[[#This Row],[Occupation Building1]]&gt;0), SUM(climate_data21317[[#This Row],[Internal gains (W)]]:climate_data21317[[#This Row],[Cond. Windows (W)]]),0)</f>
        <v>431.43597519999997</v>
      </c>
      <c r="V6" s="1">
        <f>climate_data21317[[#This Row],[Heating(W)]]/Inputs!$H$51</f>
        <v>107.85899379999999</v>
      </c>
      <c r="W6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6" s="1">
        <f>climate_data21317[[#This Row],[Cooling (W)]]/Inputs!$H$52</f>
        <v>0</v>
      </c>
      <c r="Y6" s="1">
        <f>($D$63*MAX(occupation__114[[#This Row],[Occupation Building1]]:I29)*$D$65*$D$64*($D$62-$D$61))/(24*1000)</f>
        <v>1085.9375</v>
      </c>
    </row>
    <row r="7" spans="1:25" x14ac:dyDescent="0.35">
      <c r="A7" s="1">
        <f>climate_data__5[[#This Row],[Hour]]</f>
        <v>4</v>
      </c>
      <c r="B7" s="1">
        <f>climate_data__5[[#This Row],[Temperature (ºC)]]</f>
        <v>15.12</v>
      </c>
      <c r="C7" s="1">
        <f>climate_data__5[[#This Row],[Wind 10m (m/s)]]</f>
        <v>1.34</v>
      </c>
      <c r="D7" s="1" t="str">
        <f>climate_data__5[[#This Row],[Irradiance 0º (W/m2)]]</f>
        <v>0</v>
      </c>
      <c r="E7" s="1" t="str">
        <f>climate_data__5[[#This Row],[Irradiance 90º W(W/m2)]]</f>
        <v>0</v>
      </c>
      <c r="F7" s="1" t="str">
        <f>climate_data__5[[#This Row],[PV Power (W)]]</f>
        <v>0</v>
      </c>
      <c r="H7" s="1">
        <f>occupation__4[[#This Row],[Hour]]</f>
        <v>4</v>
      </c>
      <c r="I7" s="1">
        <f>occupation__4[[#This Row],[Occupation Building1]]</f>
        <v>5</v>
      </c>
      <c r="J7" s="1">
        <f>occupation__4[[#This Row],[Occupation Building2]]</f>
        <v>0</v>
      </c>
      <c r="K7" s="1">
        <f>occupation__4[[#This Row],[Occupation Building3]]</f>
        <v>0</v>
      </c>
      <c r="M7" s="1">
        <f>final_electricity__13[[#This Row],[Hour]]</f>
        <v>4</v>
      </c>
      <c r="N7" s="1">
        <f>-($D$43*$D$58 + $D$59*occupation__114[[#This Row],[Occupation Building1]])</f>
        <v>-920</v>
      </c>
      <c r="O7" s="1">
        <f>-(climate_data213[[#This Row],[Irradiance 90º W(W/m2)]]*$D$46*$D$54)</f>
        <v>0</v>
      </c>
      <c r="P7" s="1">
        <f>-($D$55*$D$44*$D$57*$D$56*(climate_data213[[#This Row],[Temperature (ºC)]]-$D$50)/3.6)</f>
        <v>169.37367360000002</v>
      </c>
      <c r="Q7" s="1">
        <f>-($D$48*$D$47*(climate_data213[[#This Row],[Temperature (ºC)]]-$D$50))</f>
        <v>474.33600000000007</v>
      </c>
      <c r="R7" s="1">
        <f t="shared" si="0"/>
        <v>0</v>
      </c>
      <c r="S7" s="1">
        <f>-($D$48*$D$43*(climate_data213[[#This Row],[Temperature (ºC)]]-$D$50))</f>
        <v>468.48000000000008</v>
      </c>
      <c r="T7" s="1">
        <f>-($D$49*$D$46*(climate_data213[[#This Row],[Temperature (ºC)]]-$D$50))</f>
        <v>303.048</v>
      </c>
      <c r="U7" s="1">
        <f>IF(AND(climate_data213[[#This Row],[Temperature (ºC)]] &lt; 16,occupation__114[[#This Row],[Occupation Building1]]&gt;0), SUM(climate_data21317[[#This Row],[Internal gains (W)]]:climate_data21317[[#This Row],[Cond. Windows (W)]]),0)</f>
        <v>495.23767360000022</v>
      </c>
      <c r="V7" s="1">
        <f>climate_data21317[[#This Row],[Heating(W)]]/Inputs!$H$51</f>
        <v>123.80941840000006</v>
      </c>
      <c r="W7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7" s="1">
        <f>climate_data21317[[#This Row],[Cooling (W)]]/Inputs!$H$52</f>
        <v>0</v>
      </c>
      <c r="Y7" s="1">
        <f>($D$63*MAX(occupation__114[[#This Row],[Occupation Building1]]:I30)*$D$65*$D$64*($D$62-$D$61))/(24*1000)</f>
        <v>1085.9375</v>
      </c>
    </row>
    <row r="8" spans="1:25" x14ac:dyDescent="0.35">
      <c r="A8" s="1">
        <f>climate_data__5[[#This Row],[Hour]]</f>
        <v>5</v>
      </c>
      <c r="B8" s="1">
        <f>climate_data__5[[#This Row],[Temperature (ºC)]]</f>
        <v>14.96</v>
      </c>
      <c r="C8" s="1">
        <f>climate_data__5[[#This Row],[Wind 10m (m/s)]]</f>
        <v>1.54</v>
      </c>
      <c r="D8" s="1" t="str">
        <f>climate_data__5[[#This Row],[Irradiance 0º (W/m2)]]</f>
        <v>0</v>
      </c>
      <c r="E8" s="1" t="str">
        <f>climate_data__5[[#This Row],[Irradiance 90º W(W/m2)]]</f>
        <v>0</v>
      </c>
      <c r="F8" s="1" t="str">
        <f>climate_data__5[[#This Row],[PV Power (W)]]</f>
        <v>0</v>
      </c>
      <c r="H8" s="1">
        <f>occupation__4[[#This Row],[Hour]]</f>
        <v>5</v>
      </c>
      <c r="I8" s="1">
        <f>occupation__4[[#This Row],[Occupation Building1]]</f>
        <v>5</v>
      </c>
      <c r="J8" s="1">
        <f>occupation__4[[#This Row],[Occupation Building2]]</f>
        <v>0</v>
      </c>
      <c r="K8" s="1">
        <f>occupation__4[[#This Row],[Occupation Building3]]</f>
        <v>0</v>
      </c>
      <c r="M8" s="1">
        <f>final_electricity__13[[#This Row],[Hour]]</f>
        <v>5</v>
      </c>
      <c r="N8" s="1">
        <f>-($D$43*$D$58 + $D$59*occupation__114[[#This Row],[Occupation Building1]])</f>
        <v>-920</v>
      </c>
      <c r="O8" s="1">
        <f>-(climate_data213[[#This Row],[Irradiance 90º W(W/m2)]]*$D$46*$D$54)</f>
        <v>0</v>
      </c>
      <c r="P8" s="1">
        <f>-($D$55*$D$44*$D$57*$D$56*(climate_data213[[#This Row],[Temperature (ºC)]]-$D$50)/3.6)</f>
        <v>174.92690879999998</v>
      </c>
      <c r="Q8" s="1">
        <f>-($D$48*$D$47*(climate_data213[[#This Row],[Temperature (ºC)]]-$D$50))</f>
        <v>489.88799999999992</v>
      </c>
      <c r="R8" s="1">
        <f t="shared" si="0"/>
        <v>0</v>
      </c>
      <c r="S8" s="1">
        <f>-($D$48*$D$43*(climate_data213[[#This Row],[Temperature (ºC)]]-$D$50))</f>
        <v>483.83999999999992</v>
      </c>
      <c r="T8" s="1">
        <f>-($D$49*$D$46*(climate_data213[[#This Row],[Temperature (ºC)]]-$D$50))</f>
        <v>312.98399999999992</v>
      </c>
      <c r="U8" s="1">
        <f>IF(AND(climate_data213[[#This Row],[Temperature (ºC)]] &lt; 16,occupation__114[[#This Row],[Occupation Building1]]&gt;0), SUM(climate_data21317[[#This Row],[Internal gains (W)]]:climate_data21317[[#This Row],[Cond. Windows (W)]]),0)</f>
        <v>541.63890879999974</v>
      </c>
      <c r="V8" s="1">
        <f>climate_data21317[[#This Row],[Heating(W)]]/Inputs!$H$51</f>
        <v>135.40972719999994</v>
      </c>
      <c r="W8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8" s="1">
        <f>climate_data21317[[#This Row],[Cooling (W)]]/Inputs!$H$52</f>
        <v>0</v>
      </c>
      <c r="Y8" s="1">
        <f>($D$63*MAX(occupation__114[[#This Row],[Occupation Building1]]:I31)*$D$65*$D$64*($D$62-$D$61))/(24*1000)</f>
        <v>1085.9375</v>
      </c>
    </row>
    <row r="9" spans="1:25" x14ac:dyDescent="0.35">
      <c r="A9" s="1">
        <f>climate_data__5[[#This Row],[Hour]]</f>
        <v>6</v>
      </c>
      <c r="B9" s="1">
        <f>climate_data__5[[#This Row],[Temperature (ºC)]]</f>
        <v>14.8</v>
      </c>
      <c r="C9" s="1">
        <f>climate_data__5[[#This Row],[Wind 10m (m/s)]]</f>
        <v>1.73</v>
      </c>
      <c r="D9" s="1" t="str">
        <f>climate_data__5[[#This Row],[Irradiance 0º (W/m2)]]</f>
        <v>0</v>
      </c>
      <c r="E9" s="1" t="str">
        <f>climate_data__5[[#This Row],[Irradiance 90º W(W/m2)]]</f>
        <v>0</v>
      </c>
      <c r="F9" s="1" t="str">
        <f>climate_data__5[[#This Row],[PV Power (W)]]</f>
        <v>0</v>
      </c>
      <c r="H9" s="1">
        <f>occupation__4[[#This Row],[Hour]]</f>
        <v>6</v>
      </c>
      <c r="I9" s="1">
        <f>occupation__4[[#This Row],[Occupation Building1]]</f>
        <v>5</v>
      </c>
      <c r="J9" s="1">
        <f>occupation__4[[#This Row],[Occupation Building2]]</f>
        <v>0</v>
      </c>
      <c r="K9" s="1">
        <f>occupation__4[[#This Row],[Occupation Building3]]</f>
        <v>0</v>
      </c>
      <c r="M9" s="1">
        <f>final_electricity__13[[#This Row],[Hour]]</f>
        <v>6</v>
      </c>
      <c r="N9" s="1">
        <f>-($D$43*$D$58 + $D$59*occupation__114[[#This Row],[Occupation Building1]])</f>
        <v>-920</v>
      </c>
      <c r="O9" s="1">
        <f>-(climate_data213[[#This Row],[Irradiance 90º W(W/m2)]]*$D$46*$D$54)</f>
        <v>0</v>
      </c>
      <c r="P9" s="1">
        <f>-($D$55*$D$44*$D$57*$D$56*(climate_data213[[#This Row],[Temperature (ºC)]]-$D$50)/3.6)</f>
        <v>180.480144</v>
      </c>
      <c r="Q9" s="1">
        <f>-($D$48*$D$47*(climate_data213[[#This Row],[Temperature (ºC)]]-$D$50))</f>
        <v>505.43999999999994</v>
      </c>
      <c r="R9" s="1">
        <f t="shared" si="0"/>
        <v>0</v>
      </c>
      <c r="S9" s="1">
        <f>-($D$48*$D$43*(climate_data213[[#This Row],[Temperature (ºC)]]-$D$50))</f>
        <v>499.19999999999993</v>
      </c>
      <c r="T9" s="1">
        <f>-($D$49*$D$46*(climate_data213[[#This Row],[Temperature (ºC)]]-$D$50))</f>
        <v>322.9199999999999</v>
      </c>
      <c r="U9" s="1">
        <f>IF(AND(climate_data213[[#This Row],[Temperature (ºC)]] &lt; 16,occupation__114[[#This Row],[Occupation Building1]]&gt;0), SUM(climate_data21317[[#This Row],[Internal gains (W)]]:climate_data21317[[#This Row],[Cond. Windows (W)]]),0)</f>
        <v>588.04014399999983</v>
      </c>
      <c r="V9" s="1">
        <f>climate_data21317[[#This Row],[Heating(W)]]/Inputs!$H$51</f>
        <v>147.01003599999996</v>
      </c>
      <c r="W9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9" s="1">
        <f>climate_data21317[[#This Row],[Cooling (W)]]/Inputs!$H$52</f>
        <v>0</v>
      </c>
      <c r="Y9" s="1">
        <f>($D$63*MAX(occupation__114[[#This Row],[Occupation Building1]]:I32)*$D$65*$D$64*($D$62-$D$61))/(24*1000)</f>
        <v>1085.9375</v>
      </c>
    </row>
    <row r="10" spans="1:25" x14ac:dyDescent="0.35">
      <c r="A10" s="1">
        <f>climate_data__5[[#This Row],[Hour]]</f>
        <v>7</v>
      </c>
      <c r="B10" s="1">
        <f>climate_data__5[[#This Row],[Temperature (ºC)]]</f>
        <v>14.63</v>
      </c>
      <c r="C10" s="1">
        <f>climate_data__5[[#This Row],[Wind 10m (m/s)]]</f>
        <v>1.93</v>
      </c>
      <c r="D10" s="1" t="str">
        <f>climate_data__5[[#This Row],[Irradiance 0º (W/m2)]]</f>
        <v>0</v>
      </c>
      <c r="E10" s="1" t="str">
        <f>climate_data__5[[#This Row],[Irradiance 90º W(W/m2)]]</f>
        <v>0</v>
      </c>
      <c r="F10" s="1" t="str">
        <f>climate_data__5[[#This Row],[PV Power (W)]]</f>
        <v>0</v>
      </c>
      <c r="H10" s="1">
        <f>occupation__4[[#This Row],[Hour]]</f>
        <v>7</v>
      </c>
      <c r="I10" s="1">
        <f>occupation__4[[#This Row],[Occupation Building1]]</f>
        <v>5</v>
      </c>
      <c r="J10" s="1">
        <f>occupation__4[[#This Row],[Occupation Building2]]</f>
        <v>50</v>
      </c>
      <c r="K10" s="1">
        <f>occupation__4[[#This Row],[Occupation Building3]]</f>
        <v>80</v>
      </c>
      <c r="M10" s="1">
        <f>final_electricity__13[[#This Row],[Hour]]</f>
        <v>7</v>
      </c>
      <c r="N10" s="1">
        <f>-($D$43*$D$58 + $D$59*occupation__114[[#This Row],[Occupation Building1]])</f>
        <v>-920</v>
      </c>
      <c r="O10" s="1">
        <f>-(climate_data213[[#This Row],[Irradiance 90º W(W/m2)]]*$D$46*$D$54)</f>
        <v>0</v>
      </c>
      <c r="P10" s="1">
        <f>-($D$55*$D$44*$D$57*$D$56*(climate_data213[[#This Row],[Temperature (ºC)]]-$D$50)/3.6)</f>
        <v>186.38045639999999</v>
      </c>
      <c r="Q10" s="1">
        <f>-($D$48*$D$47*(climate_data213[[#This Row],[Temperature (ºC)]]-$D$50))</f>
        <v>521.96399999999994</v>
      </c>
      <c r="R10" s="1">
        <f t="shared" si="0"/>
        <v>0</v>
      </c>
      <c r="S10" s="1">
        <f>-($D$48*$D$43*(climate_data213[[#This Row],[Temperature (ºC)]]-$D$50))</f>
        <v>515.52</v>
      </c>
      <c r="T10" s="1">
        <f>-($D$49*$D$46*(climate_data213[[#This Row],[Temperature (ºC)]]-$D$50))</f>
        <v>333.47699999999992</v>
      </c>
      <c r="U10" s="1">
        <f>IF(AND(climate_data213[[#This Row],[Temperature (ºC)]] &lt; 16,occupation__114[[#This Row],[Occupation Building1]]&gt;0), SUM(climate_data21317[[#This Row],[Internal gains (W)]]:climate_data21317[[#This Row],[Cond. Windows (W)]]),0)</f>
        <v>637.34145639999974</v>
      </c>
      <c r="V10" s="1">
        <f>climate_data21317[[#This Row],[Heating(W)]]/Inputs!$H$51</f>
        <v>159.33536409999994</v>
      </c>
      <c r="W10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10" s="1">
        <f>climate_data21317[[#This Row],[Cooling (W)]]/Inputs!$H$52</f>
        <v>0</v>
      </c>
      <c r="Y10" s="1">
        <f>($D$63*MAX(occupation__114[[#This Row],[Occupation Building1]]:I33)*$D$65*$D$64*($D$62-$D$61))/(24*1000)</f>
        <v>1085.9375</v>
      </c>
    </row>
    <row r="11" spans="1:25" x14ac:dyDescent="0.35">
      <c r="A11" s="1">
        <f>climate_data__5[[#This Row],[Hour]]</f>
        <v>8</v>
      </c>
      <c r="B11" s="1">
        <f>climate_data__5[[#This Row],[Temperature (ºC)]]</f>
        <v>15.54</v>
      </c>
      <c r="C11" s="1">
        <f>climate_data__5[[#This Row],[Wind 10m (m/s)]]</f>
        <v>2.13</v>
      </c>
      <c r="D11" s="1" t="str">
        <f>climate_data__5[[#This Row],[Irradiance 0º (W/m2)]]</f>
        <v>0</v>
      </c>
      <c r="E11" s="1" t="str">
        <f>climate_data__5[[#This Row],[Irradiance 90º W(W/m2)]]</f>
        <v>0</v>
      </c>
      <c r="F11" s="1" t="str">
        <f>climate_data__5[[#This Row],[PV Power (W)]]</f>
        <v>0</v>
      </c>
      <c r="H11" s="1">
        <f>occupation__4[[#This Row],[Hour]]</f>
        <v>8</v>
      </c>
      <c r="I11" s="1">
        <f>occupation__4[[#This Row],[Occupation Building1]]</f>
        <v>1</v>
      </c>
      <c r="J11" s="1">
        <f>occupation__4[[#This Row],[Occupation Building2]]</f>
        <v>100</v>
      </c>
      <c r="K11" s="1">
        <f>occupation__4[[#This Row],[Occupation Building3]]</f>
        <v>150</v>
      </c>
      <c r="M11" s="1">
        <f>final_electricity__13[[#This Row],[Hour]]</f>
        <v>8</v>
      </c>
      <c r="N11" s="1">
        <f>-($D$43*$D$58 + $D$59*occupation__114[[#This Row],[Occupation Building1]])</f>
        <v>-440</v>
      </c>
      <c r="O11" s="1">
        <f>-(climate_data213[[#This Row],[Irradiance 90º W(W/m2)]]*$D$46*$D$54)</f>
        <v>0</v>
      </c>
      <c r="P11" s="1">
        <f>-($D$55*$D$44*$D$57*$D$56*(climate_data213[[#This Row],[Temperature (ºC)]]-$D$50)/3.6)</f>
        <v>154.79643120000003</v>
      </c>
      <c r="Q11" s="1">
        <f>-($D$48*$D$47*(climate_data213[[#This Row],[Temperature (ºC)]]-$D$50))</f>
        <v>433.51200000000011</v>
      </c>
      <c r="R11" s="1">
        <f t="shared" si="0"/>
        <v>0</v>
      </c>
      <c r="S11" s="1">
        <f>-($D$48*$D$43*(climate_data213[[#This Row],[Temperature (ºC)]]-$D$50))</f>
        <v>428.16000000000008</v>
      </c>
      <c r="T11" s="1">
        <f>-($D$49*$D$46*(climate_data213[[#This Row],[Temperature (ºC)]]-$D$50))</f>
        <v>276.96600000000001</v>
      </c>
      <c r="U11" s="1">
        <f>IF(AND(climate_data213[[#This Row],[Temperature (ºC)]] &lt; 16,occupation__114[[#This Row],[Occupation Building1]]&gt;0), SUM(climate_data21317[[#This Row],[Internal gains (W)]]:climate_data21317[[#This Row],[Cond. Windows (W)]]),0)</f>
        <v>853.43443120000018</v>
      </c>
      <c r="V11" s="1">
        <f>climate_data21317[[#This Row],[Heating(W)]]/Inputs!$H$51</f>
        <v>213.35860780000004</v>
      </c>
      <c r="W11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11" s="1">
        <f>climate_data21317[[#This Row],[Cooling (W)]]/Inputs!$H$52</f>
        <v>0</v>
      </c>
      <c r="Y11" s="1">
        <f>($D$63*MAX(occupation__114[[#This Row],[Occupation Building1]]:I34)*$D$65*$D$64*($D$62-$D$61))/(24*1000)</f>
        <v>1085.9375</v>
      </c>
    </row>
    <row r="12" spans="1:25" x14ac:dyDescent="0.35">
      <c r="A12" s="1">
        <f>climate_data__5[[#This Row],[Hour]]</f>
        <v>9</v>
      </c>
      <c r="B12" s="1">
        <f>climate_data__5[[#This Row],[Temperature (ºC)]]</f>
        <v>16.45</v>
      </c>
      <c r="C12" s="1">
        <f>climate_data__5[[#This Row],[Wind 10m (m/s)]]</f>
        <v>2.34</v>
      </c>
      <c r="D12" s="1">
        <f>climate_data__5[[#This Row],[Irradiance 0º (W/m2)]]</f>
        <v>55.32</v>
      </c>
      <c r="E12" s="1" t="str">
        <f>climate_data__5[[#This Row],[Irradiance 90º W(W/m2)]]</f>
        <v>0</v>
      </c>
      <c r="F12" s="1">
        <f>climate_data__5[[#This Row],[PV Power (W)]]</f>
        <v>69.59</v>
      </c>
      <c r="H12" s="1">
        <f>occupation__4[[#This Row],[Hour]]</f>
        <v>9</v>
      </c>
      <c r="I12" s="1">
        <f>occupation__4[[#This Row],[Occupation Building1]]</f>
        <v>0</v>
      </c>
      <c r="J12" s="1">
        <f>occupation__4[[#This Row],[Occupation Building2]]</f>
        <v>150</v>
      </c>
      <c r="K12" s="1">
        <f>occupation__4[[#This Row],[Occupation Building3]]</f>
        <v>250</v>
      </c>
      <c r="M12" s="1">
        <f>final_electricity__13[[#This Row],[Hour]]</f>
        <v>9</v>
      </c>
      <c r="N12" s="1">
        <f>-($D$43*$D$58 + $D$59*occupation__114[[#This Row],[Occupation Building1]])</f>
        <v>-320</v>
      </c>
      <c r="O12" s="1">
        <f>-(climate_data213[[#This Row],[Irradiance 90º W(W/m2)]]*$D$46*$D$54)</f>
        <v>0</v>
      </c>
      <c r="P12" s="1">
        <f>-($D$55*$D$44*$D$57*$D$56*(climate_data213[[#This Row],[Temperature (ºC)]]-$D$50)/3.6)</f>
        <v>123.21240600000003</v>
      </c>
      <c r="Q12" s="1">
        <f>-($D$48*$D$47*(climate_data213[[#This Row],[Temperature (ºC)]]-$D$50))</f>
        <v>345.06000000000006</v>
      </c>
      <c r="R12" s="1">
        <f t="shared" si="0"/>
        <v>0</v>
      </c>
      <c r="S12" s="1">
        <f>-($D$48*$D$43*(climate_data213[[#This Row],[Temperature (ºC)]]-$D$50))</f>
        <v>340.80000000000007</v>
      </c>
      <c r="T12" s="1">
        <f>-($D$49*$D$46*(climate_data213[[#This Row],[Temperature (ºC)]]-$D$50))</f>
        <v>220.45500000000001</v>
      </c>
      <c r="U12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12" s="1">
        <f>climate_data21317[[#This Row],[Heating(W)]]/Inputs!$H$51</f>
        <v>0</v>
      </c>
      <c r="W12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12" s="1">
        <f>climate_data21317[[#This Row],[Cooling (W)]]/Inputs!$H$52</f>
        <v>0</v>
      </c>
      <c r="Y12" s="1">
        <f>($D$63*MAX(occupation__114[[#This Row],[Occupation Building1]]:I35)*$D$65*$D$64*($D$62-$D$61))/(24*1000)</f>
        <v>1085.9375</v>
      </c>
    </row>
    <row r="13" spans="1:25" x14ac:dyDescent="0.35">
      <c r="A13" s="1">
        <f>climate_data__5[[#This Row],[Hour]]</f>
        <v>10</v>
      </c>
      <c r="B13" s="1">
        <f>climate_data__5[[#This Row],[Temperature (ºC)]]</f>
        <v>17.36</v>
      </c>
      <c r="C13" s="1">
        <f>climate_data__5[[#This Row],[Wind 10m (m/s)]]</f>
        <v>2.54</v>
      </c>
      <c r="D13" s="1">
        <f>climate_data__5[[#This Row],[Irradiance 0º (W/m2)]]</f>
        <v>109.52</v>
      </c>
      <c r="E13" s="1" t="str">
        <f>climate_data__5[[#This Row],[Irradiance 90º W(W/m2)]]</f>
        <v>0</v>
      </c>
      <c r="F13" s="1">
        <f>climate_data__5[[#This Row],[PV Power (W)]]</f>
        <v>262.81</v>
      </c>
      <c r="H13" s="1">
        <f>occupation__4[[#This Row],[Hour]]</f>
        <v>10</v>
      </c>
      <c r="I13" s="1">
        <f>occupation__4[[#This Row],[Occupation Building1]]</f>
        <v>0</v>
      </c>
      <c r="J13" s="1">
        <f>occupation__4[[#This Row],[Occupation Building2]]</f>
        <v>200</v>
      </c>
      <c r="K13" s="1">
        <f>occupation__4[[#This Row],[Occupation Building3]]</f>
        <v>280</v>
      </c>
      <c r="M13" s="1">
        <f>final_electricity__13[[#This Row],[Hour]]</f>
        <v>10</v>
      </c>
      <c r="N13" s="1">
        <f>-($D$43*$D$58 + $D$59*occupation__114[[#This Row],[Occupation Building1]])</f>
        <v>-320</v>
      </c>
      <c r="O13" s="1">
        <f>-(climate_data213[[#This Row],[Irradiance 90º W(W/m2)]]*$D$46*$D$54)</f>
        <v>0</v>
      </c>
      <c r="P13" s="1">
        <f>-($D$55*$D$44*$D$57*$D$56*(climate_data213[[#This Row],[Temperature (ºC)]]-$D$50)/3.6)</f>
        <v>91.628380800000016</v>
      </c>
      <c r="Q13" s="1">
        <f>-($D$48*$D$47*(climate_data213[[#This Row],[Temperature (ºC)]]-$D$50))</f>
        <v>256.60800000000006</v>
      </c>
      <c r="R13" s="1">
        <f t="shared" si="0"/>
        <v>0</v>
      </c>
      <c r="S13" s="1">
        <f>-($D$48*$D$43*(climate_data213[[#This Row],[Temperature (ºC)]]-$D$50))</f>
        <v>253.44000000000005</v>
      </c>
      <c r="T13" s="1">
        <f>-($D$49*$D$46*(climate_data213[[#This Row],[Temperature (ºC)]]-$D$50))</f>
        <v>163.94400000000002</v>
      </c>
      <c r="U13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13" s="1">
        <f>climate_data21317[[#This Row],[Heating(W)]]/Inputs!$H$51</f>
        <v>0</v>
      </c>
      <c r="W13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13" s="1">
        <f>climate_data21317[[#This Row],[Cooling (W)]]/Inputs!$H$52</f>
        <v>0</v>
      </c>
      <c r="Y13" s="1">
        <f>($D$63*MAX(occupation__114[[#This Row],[Occupation Building1]]:I36)*$D$65*$D$64*($D$62-$D$61))/(24*1000)</f>
        <v>1085.9375</v>
      </c>
    </row>
    <row r="14" spans="1:25" x14ac:dyDescent="0.35">
      <c r="A14" s="1">
        <f>climate_data__5[[#This Row],[Hour]]</f>
        <v>11</v>
      </c>
      <c r="B14" s="1">
        <f>climate_data__5[[#This Row],[Temperature (ºC)]]</f>
        <v>18.41</v>
      </c>
      <c r="C14" s="1">
        <f>climate_data__5[[#This Row],[Wind 10m (m/s)]]</f>
        <v>2.4</v>
      </c>
      <c r="D14" s="1">
        <f>climate_data__5[[#This Row],[Irradiance 0º (W/m2)]]</f>
        <v>121.1</v>
      </c>
      <c r="E14" s="1">
        <f>climate_data__5[[#This Row],[Irradiance 90º W(W/m2)]]</f>
        <v>30.98</v>
      </c>
      <c r="F14" s="1">
        <f>climate_data__5[[#This Row],[PV Power (W)]]</f>
        <v>477.68</v>
      </c>
      <c r="H14" s="1">
        <f>occupation__4[[#This Row],[Hour]]</f>
        <v>11</v>
      </c>
      <c r="I14" s="1">
        <f>occupation__4[[#This Row],[Occupation Building1]]</f>
        <v>0</v>
      </c>
      <c r="J14" s="1">
        <f>occupation__4[[#This Row],[Occupation Building2]]</f>
        <v>250</v>
      </c>
      <c r="K14" s="1">
        <f>occupation__4[[#This Row],[Occupation Building3]]</f>
        <v>250</v>
      </c>
      <c r="M14" s="1">
        <f>final_electricity__13[[#This Row],[Hour]]</f>
        <v>11</v>
      </c>
      <c r="N14" s="1">
        <f>-($D$43*$D$58 + $D$59*occupation__114[[#This Row],[Occupation Building1]])</f>
        <v>-320</v>
      </c>
      <c r="O14" s="1">
        <f>-(climate_data213[[#This Row],[Irradiance 90º W(W/m2)]]*$D$46*$D$54)</f>
        <v>-209.11500000000001</v>
      </c>
      <c r="P14" s="1">
        <f>-($D$55*$D$44*$D$57*$D$56*(climate_data213[[#This Row],[Temperature (ºC)]]-$D$50)/3.6)</f>
        <v>55.185274799999995</v>
      </c>
      <c r="Q14" s="1">
        <f>-($D$48*$D$47*(climate_data213[[#This Row],[Temperature (ºC)]]-$D$50))</f>
        <v>154.548</v>
      </c>
      <c r="R14" s="1">
        <f t="shared" si="0"/>
        <v>0</v>
      </c>
      <c r="S14" s="1">
        <f>-($D$48*$D$43*(climate_data213[[#This Row],[Temperature (ºC)]]-$D$50))</f>
        <v>152.63999999999999</v>
      </c>
      <c r="T14" s="1">
        <f>-($D$49*$D$46*(climate_data213[[#This Row],[Temperature (ºC)]]-$D$50))</f>
        <v>98.738999999999976</v>
      </c>
      <c r="U14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14" s="1">
        <f>climate_data21317[[#This Row],[Heating(W)]]/Inputs!$H$51</f>
        <v>0</v>
      </c>
      <c r="W14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14" s="1">
        <f>climate_data21317[[#This Row],[Cooling (W)]]/Inputs!$H$52</f>
        <v>0</v>
      </c>
      <c r="Y14" s="1">
        <f>($D$63*MAX(occupation__114[[#This Row],[Occupation Building1]]:I37)*$D$65*$D$64*($D$62-$D$61))/(24*1000)</f>
        <v>1085.9375</v>
      </c>
    </row>
    <row r="15" spans="1:25" x14ac:dyDescent="0.35">
      <c r="A15" s="1">
        <f>climate_data__5[[#This Row],[Hour]]</f>
        <v>12</v>
      </c>
      <c r="B15" s="1">
        <f>climate_data__5[[#This Row],[Temperature (ºC)]]</f>
        <v>19.46</v>
      </c>
      <c r="C15" s="1">
        <f>climate_data__5[[#This Row],[Wind 10m (m/s)]]</f>
        <v>2.27</v>
      </c>
      <c r="D15" s="1">
        <f>climate_data__5[[#This Row],[Irradiance 0º (W/m2)]]</f>
        <v>188.12</v>
      </c>
      <c r="E15" s="1">
        <f>climate_data__5[[#This Row],[Irradiance 90º W(W/m2)]]</f>
        <v>50.37</v>
      </c>
      <c r="F15" s="1">
        <f>climate_data__5[[#This Row],[PV Power (W)]]</f>
        <v>588.53</v>
      </c>
      <c r="H15" s="1">
        <f>occupation__4[[#This Row],[Hour]]</f>
        <v>12</v>
      </c>
      <c r="I15" s="1">
        <f>occupation__4[[#This Row],[Occupation Building1]]</f>
        <v>0</v>
      </c>
      <c r="J15" s="1">
        <f>occupation__4[[#This Row],[Occupation Building2]]</f>
        <v>230</v>
      </c>
      <c r="K15" s="1">
        <f>occupation__4[[#This Row],[Occupation Building3]]</f>
        <v>220</v>
      </c>
      <c r="M15" s="1">
        <f>final_electricity__13[[#This Row],[Hour]]</f>
        <v>12</v>
      </c>
      <c r="N15" s="1">
        <f>-($D$43*$D$58 + $D$59*occupation__114[[#This Row],[Occupation Building1]])</f>
        <v>-320</v>
      </c>
      <c r="O15" s="1">
        <f>-(climate_data213[[#This Row],[Irradiance 90º W(W/m2)]]*$D$46*$D$54)</f>
        <v>-339.9975</v>
      </c>
      <c r="P15" s="1">
        <f>-($D$55*$D$44*$D$57*$D$56*(climate_data213[[#This Row],[Temperature (ºC)]]-$D$50)/3.6)</f>
        <v>18.74216879999997</v>
      </c>
      <c r="Q15" s="1">
        <f>-($D$48*$D$47*(climate_data213[[#This Row],[Temperature (ºC)]]-$D$50))</f>
        <v>52.487999999999921</v>
      </c>
      <c r="R15" s="1">
        <f t="shared" si="0"/>
        <v>0</v>
      </c>
      <c r="S15" s="1">
        <f>-($D$48*$D$43*(climate_data213[[#This Row],[Temperature (ºC)]]-$D$50))</f>
        <v>51.839999999999918</v>
      </c>
      <c r="T15" s="1">
        <f>-($D$49*$D$46*(climate_data213[[#This Row],[Temperature (ºC)]]-$D$50))</f>
        <v>33.533999999999942</v>
      </c>
      <c r="U15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15" s="1">
        <f>climate_data21317[[#This Row],[Heating(W)]]/Inputs!$H$51</f>
        <v>0</v>
      </c>
      <c r="W15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15" s="1">
        <f>climate_data21317[[#This Row],[Cooling (W)]]/Inputs!$H$52</f>
        <v>0</v>
      </c>
      <c r="Y15" s="1">
        <f>($D$63*MAX(occupation__114[[#This Row],[Occupation Building1]]:I38)*$D$65*$D$64*($D$62-$D$61))/(24*1000)</f>
        <v>1085.9375</v>
      </c>
    </row>
    <row r="16" spans="1:25" x14ac:dyDescent="0.35">
      <c r="A16" s="1">
        <f>climate_data__5[[#This Row],[Hour]]</f>
        <v>13</v>
      </c>
      <c r="B16" s="1">
        <f>climate_data__5[[#This Row],[Temperature (ºC)]]</f>
        <v>20.51</v>
      </c>
      <c r="C16" s="1">
        <f>climate_data__5[[#This Row],[Wind 10m (m/s)]]</f>
        <v>2.14</v>
      </c>
      <c r="D16" s="1">
        <f>climate_data__5[[#This Row],[Irradiance 0º (W/m2)]]</f>
        <v>236.73</v>
      </c>
      <c r="E16" s="1">
        <f>climate_data__5[[#This Row],[Irradiance 90º W(W/m2)]]</f>
        <v>75.209999999999994</v>
      </c>
      <c r="F16" s="1">
        <f>climate_data__5[[#This Row],[PV Power (W)]]</f>
        <v>651.66999999999996</v>
      </c>
      <c r="H16" s="1">
        <f>occupation__4[[#This Row],[Hour]]</f>
        <v>13</v>
      </c>
      <c r="I16" s="1">
        <f>occupation__4[[#This Row],[Occupation Building1]]</f>
        <v>0</v>
      </c>
      <c r="J16" s="1">
        <f>occupation__4[[#This Row],[Occupation Building2]]</f>
        <v>210</v>
      </c>
      <c r="K16" s="1">
        <f>occupation__4[[#This Row],[Occupation Building3]]</f>
        <v>250</v>
      </c>
      <c r="M16" s="1">
        <f>final_electricity__13[[#This Row],[Hour]]</f>
        <v>13</v>
      </c>
      <c r="N16" s="1">
        <f>-($D$43*$D$58 + $D$59*occupation__114[[#This Row],[Occupation Building1]])</f>
        <v>-320</v>
      </c>
      <c r="O16" s="1">
        <f>-(climate_data213[[#This Row],[Irradiance 90º W(W/m2)]]*$D$46*$D$54)</f>
        <v>-507.66749999999996</v>
      </c>
      <c r="P16" s="1">
        <f>-($D$55*$D$44*$D$57*$D$56*(climate_data213[[#This Row],[Temperature (ºC)]]-$D$50)/3.6)</f>
        <v>-17.700937200000055</v>
      </c>
      <c r="Q16" s="1">
        <f>-($D$48*$D$47*(climate_data213[[#This Row],[Temperature (ºC)]]-$D$50))</f>
        <v>-49.572000000000152</v>
      </c>
      <c r="R16" s="1">
        <f t="shared" si="0"/>
        <v>0</v>
      </c>
      <c r="S16" s="1">
        <f>-($D$48*$D$43*(climate_data213[[#This Row],[Temperature (ºC)]]-$D$50))</f>
        <v>-48.96000000000015</v>
      </c>
      <c r="T16" s="1">
        <f>-($D$49*$D$46*(climate_data213[[#This Row],[Temperature (ºC)]]-$D$50))</f>
        <v>-31.671000000000095</v>
      </c>
      <c r="U16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16" s="1">
        <f>climate_data21317[[#This Row],[Heating(W)]]/Inputs!$H$51</f>
        <v>0</v>
      </c>
      <c r="W16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16" s="1">
        <f>climate_data21317[[#This Row],[Cooling (W)]]/Inputs!$H$52</f>
        <v>0</v>
      </c>
      <c r="Y16" s="1">
        <f>($D$63*MAX(occupation__114[[#This Row],[Occupation Building1]]:I39)*$D$65*$D$64*($D$62-$D$61))/(24*1000)</f>
        <v>1085.9375</v>
      </c>
    </row>
    <row r="17" spans="1:25" x14ac:dyDescent="0.35">
      <c r="A17" s="1">
        <f>climate_data__5[[#This Row],[Hour]]</f>
        <v>14</v>
      </c>
      <c r="B17" s="1">
        <f>climate_data__5[[#This Row],[Temperature (ºC)]]</f>
        <v>20.66</v>
      </c>
      <c r="C17" s="1">
        <f>climate_data__5[[#This Row],[Wind 10m (m/s)]]</f>
        <v>2.56</v>
      </c>
      <c r="D17" s="1">
        <f>climate_data__5[[#This Row],[Irradiance 0º (W/m2)]]</f>
        <v>196.37</v>
      </c>
      <c r="E17" s="1">
        <f>climate_data__5[[#This Row],[Irradiance 90º W(W/m2)]]</f>
        <v>100.32</v>
      </c>
      <c r="F17" s="1">
        <f>climate_data__5[[#This Row],[PV Power (W)]]</f>
        <v>743.89</v>
      </c>
      <c r="H17" s="1">
        <f>occupation__4[[#This Row],[Hour]]</f>
        <v>14</v>
      </c>
      <c r="I17" s="1">
        <f>occupation__4[[#This Row],[Occupation Building1]]</f>
        <v>1</v>
      </c>
      <c r="J17" s="1">
        <f>occupation__4[[#This Row],[Occupation Building2]]</f>
        <v>250</v>
      </c>
      <c r="K17" s="1">
        <f>occupation__4[[#This Row],[Occupation Building3]]</f>
        <v>270</v>
      </c>
      <c r="M17" s="1">
        <f>final_electricity__13[[#This Row],[Hour]]</f>
        <v>14</v>
      </c>
      <c r="N17" s="1">
        <f>-($D$43*$D$58 + $D$59*occupation__114[[#This Row],[Occupation Building1]])</f>
        <v>-440</v>
      </c>
      <c r="O17" s="1">
        <f>-(climate_data213[[#This Row],[Irradiance 90º W(W/m2)]]*$D$46*$D$54)</f>
        <v>-677.16</v>
      </c>
      <c r="P17" s="1">
        <f>-($D$55*$D$44*$D$57*$D$56*(climate_data213[[#This Row],[Temperature (ºC)]]-$D$50)/3.6)</f>
        <v>-22.907095200000004</v>
      </c>
      <c r="Q17" s="1">
        <f>-($D$48*$D$47*(climate_data213[[#This Row],[Temperature (ºC)]]-$D$50))</f>
        <v>-64.152000000000015</v>
      </c>
      <c r="R17" s="1">
        <f t="shared" si="0"/>
        <v>0</v>
      </c>
      <c r="S17" s="1">
        <f>-($D$48*$D$43*(climate_data213[[#This Row],[Temperature (ºC)]]-$D$50))</f>
        <v>-63.360000000000014</v>
      </c>
      <c r="T17" s="1">
        <f>-($D$49*$D$46*(climate_data213[[#This Row],[Temperature (ºC)]]-$D$50))</f>
        <v>-40.986000000000004</v>
      </c>
      <c r="U17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17" s="1">
        <f>climate_data21317[[#This Row],[Heating(W)]]/Inputs!$H$51</f>
        <v>0</v>
      </c>
      <c r="W17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17" s="1">
        <f>climate_data21317[[#This Row],[Cooling (W)]]/Inputs!$H$52</f>
        <v>0</v>
      </c>
      <c r="Y17" s="1">
        <f>($D$63*MAX(occupation__114[[#This Row],[Occupation Building1]]:I40)*$D$65*$D$64*($D$62-$D$61))/(24*1000)</f>
        <v>1085.9375</v>
      </c>
    </row>
    <row r="18" spans="1:25" x14ac:dyDescent="0.35">
      <c r="A18" s="1">
        <f>climate_data__5[[#This Row],[Hour]]</f>
        <v>15</v>
      </c>
      <c r="B18" s="1">
        <f>climate_data__5[[#This Row],[Temperature (ºC)]]</f>
        <v>20.81</v>
      </c>
      <c r="C18" s="1">
        <f>climate_data__5[[#This Row],[Wind 10m (m/s)]]</f>
        <v>2.98</v>
      </c>
      <c r="D18" s="1">
        <f>climate_data__5[[#This Row],[Irradiance 0º (W/m2)]]</f>
        <v>199.64</v>
      </c>
      <c r="E18" s="1">
        <f>climate_data__5[[#This Row],[Irradiance 90º W(W/m2)]]</f>
        <v>78.48</v>
      </c>
      <c r="F18" s="1">
        <f>climate_data__5[[#This Row],[PV Power (W)]]</f>
        <v>733.57</v>
      </c>
      <c r="H18" s="1">
        <f>occupation__4[[#This Row],[Hour]]</f>
        <v>15</v>
      </c>
      <c r="I18" s="1">
        <f>occupation__4[[#This Row],[Occupation Building1]]</f>
        <v>1</v>
      </c>
      <c r="J18" s="1">
        <f>occupation__4[[#This Row],[Occupation Building2]]</f>
        <v>230</v>
      </c>
      <c r="K18" s="1">
        <f>occupation__4[[#This Row],[Occupation Building3]]</f>
        <v>280</v>
      </c>
      <c r="M18" s="1">
        <f>final_electricity__13[[#This Row],[Hour]]</f>
        <v>15</v>
      </c>
      <c r="N18" s="1">
        <f>-($D$43*$D$58 + $D$59*occupation__114[[#This Row],[Occupation Building1]])</f>
        <v>-440</v>
      </c>
      <c r="O18" s="1">
        <f>-(climate_data213[[#This Row],[Irradiance 90º W(W/m2)]]*$D$46*$D$54)</f>
        <v>-529.74</v>
      </c>
      <c r="P18" s="1">
        <f>-($D$55*$D$44*$D$57*$D$56*(climate_data213[[#This Row],[Temperature (ºC)]]-$D$50)/3.6)</f>
        <v>-28.113253199999956</v>
      </c>
      <c r="Q18" s="1">
        <f>-($D$48*$D$47*(climate_data213[[#This Row],[Temperature (ºC)]]-$D$50))</f>
        <v>-78.731999999999871</v>
      </c>
      <c r="R18" s="1">
        <f t="shared" si="0"/>
        <v>0</v>
      </c>
      <c r="S18" s="1">
        <f>-($D$48*$D$43*(climate_data213[[#This Row],[Temperature (ºC)]]-$D$50))</f>
        <v>-77.759999999999877</v>
      </c>
      <c r="T18" s="1">
        <f>-($D$49*$D$46*(climate_data213[[#This Row],[Temperature (ºC)]]-$D$50))</f>
        <v>-50.300999999999917</v>
      </c>
      <c r="U18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18" s="1">
        <f>climate_data21317[[#This Row],[Heating(W)]]/Inputs!$H$51</f>
        <v>0</v>
      </c>
      <c r="W18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18" s="1">
        <f>climate_data21317[[#This Row],[Cooling (W)]]/Inputs!$H$52</f>
        <v>0</v>
      </c>
      <c r="Y18" s="1">
        <f>($D$63*MAX(occupation__114[[#This Row],[Occupation Building1]]:I41)*$D$65*$D$64*($D$62-$D$61))/(24*1000)</f>
        <v>1085.9375</v>
      </c>
    </row>
    <row r="19" spans="1:25" x14ac:dyDescent="0.35">
      <c r="A19" s="1">
        <f>climate_data__5[[#This Row],[Hour]]</f>
        <v>16</v>
      </c>
      <c r="B19" s="1">
        <f>climate_data__5[[#This Row],[Temperature (ºC)]]</f>
        <v>20.95</v>
      </c>
      <c r="C19" s="1">
        <f>climate_data__5[[#This Row],[Wind 10m (m/s)]]</f>
        <v>3.41</v>
      </c>
      <c r="D19" s="1">
        <f>climate_data__5[[#This Row],[Irradiance 0º (W/m2)]]</f>
        <v>181.73</v>
      </c>
      <c r="E19" s="1">
        <f>climate_data__5[[#This Row],[Irradiance 90º W(W/m2)]]</f>
        <v>45.94</v>
      </c>
      <c r="F19" s="1">
        <f>climate_data__5[[#This Row],[PV Power (W)]]</f>
        <v>676.24</v>
      </c>
      <c r="H19" s="1">
        <f>occupation__4[[#This Row],[Hour]]</f>
        <v>16</v>
      </c>
      <c r="I19" s="1">
        <f>occupation__4[[#This Row],[Occupation Building1]]</f>
        <v>1</v>
      </c>
      <c r="J19" s="1">
        <f>occupation__4[[#This Row],[Occupation Building2]]</f>
        <v>220</v>
      </c>
      <c r="K19" s="1">
        <f>occupation__4[[#This Row],[Occupation Building3]]</f>
        <v>230</v>
      </c>
      <c r="M19" s="1">
        <f>final_electricity__13[[#This Row],[Hour]]</f>
        <v>16</v>
      </c>
      <c r="N19" s="1">
        <f>-($D$43*$D$58 + $D$59*occupation__114[[#This Row],[Occupation Building1]])</f>
        <v>-440</v>
      </c>
      <c r="O19" s="1">
        <f>-(climate_data213[[#This Row],[Irradiance 90º W(W/m2)]]*$D$46*$D$54)</f>
        <v>-310.09499999999997</v>
      </c>
      <c r="P19" s="1">
        <f>-($D$55*$D$44*$D$57*$D$56*(climate_data213[[#This Row],[Temperature (ºC)]]-$D$50)/3.6)</f>
        <v>-32.972333999999975</v>
      </c>
      <c r="Q19" s="1">
        <f>-($D$48*$D$47*(climate_data213[[#This Row],[Temperature (ºC)]]-$D$50))</f>
        <v>-92.339999999999932</v>
      </c>
      <c r="R19" s="1">
        <f t="shared" si="0"/>
        <v>0</v>
      </c>
      <c r="S19" s="1">
        <f>-($D$48*$D$43*(climate_data213[[#This Row],[Temperature (ºC)]]-$D$50))</f>
        <v>-91.199999999999932</v>
      </c>
      <c r="T19" s="1">
        <f>-($D$49*$D$46*(climate_data213[[#This Row],[Temperature (ºC)]]-$D$50))</f>
        <v>-58.994999999999948</v>
      </c>
      <c r="U19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19" s="1">
        <f>climate_data21317[[#This Row],[Heating(W)]]/Inputs!$H$51</f>
        <v>0</v>
      </c>
      <c r="W19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19" s="1">
        <f>climate_data21317[[#This Row],[Cooling (W)]]/Inputs!$H$52</f>
        <v>0</v>
      </c>
      <c r="Y19" s="1">
        <f>($D$63*MAX(occupation__114[[#This Row],[Occupation Building1]]:I42)*$D$65*$D$64*($D$62-$D$61))/(24*1000)</f>
        <v>1085.9375</v>
      </c>
    </row>
    <row r="20" spans="1:25" x14ac:dyDescent="0.35">
      <c r="A20" s="1">
        <f>climate_data__5[[#This Row],[Hour]]</f>
        <v>17</v>
      </c>
      <c r="B20" s="1">
        <f>climate_data__5[[#This Row],[Temperature (ºC)]]</f>
        <v>19.96</v>
      </c>
      <c r="C20" s="1">
        <f>climate_data__5[[#This Row],[Wind 10m (m/s)]]</f>
        <v>3.38</v>
      </c>
      <c r="D20" s="1">
        <f>climate_data__5[[#This Row],[Irradiance 0º (W/m2)]]</f>
        <v>178.37</v>
      </c>
      <c r="E20" s="1">
        <f>climate_data__5[[#This Row],[Irradiance 90º W(W/m2)]]</f>
        <v>16.579999999999998</v>
      </c>
      <c r="F20" s="1">
        <f>climate_data__5[[#This Row],[PV Power (W)]]</f>
        <v>526.4</v>
      </c>
      <c r="H20" s="1">
        <f>occupation__4[[#This Row],[Hour]]</f>
        <v>17</v>
      </c>
      <c r="I20" s="1">
        <f>occupation__4[[#This Row],[Occupation Building1]]</f>
        <v>3</v>
      </c>
      <c r="J20" s="1">
        <f>occupation__4[[#This Row],[Occupation Building2]]</f>
        <v>180</v>
      </c>
      <c r="K20" s="1">
        <f>occupation__4[[#This Row],[Occupation Building3]]</f>
        <v>200</v>
      </c>
      <c r="M20" s="1">
        <f>final_electricity__13[[#This Row],[Hour]]</f>
        <v>17</v>
      </c>
      <c r="N20" s="1">
        <f>-($D$43*$D$58 + $D$59*occupation__114[[#This Row],[Occupation Building1]])</f>
        <v>-680</v>
      </c>
      <c r="O20" s="1">
        <f>-(climate_data213[[#This Row],[Irradiance 90º W(W/m2)]]*$D$46*$D$54)</f>
        <v>-111.91499999999999</v>
      </c>
      <c r="P20" s="1">
        <f>-($D$55*$D$44*$D$57*$D$56*(climate_data213[[#This Row],[Temperature (ºC)]]-$D$50)/3.6)</f>
        <v>1.3883087999999706</v>
      </c>
      <c r="Q20" s="1">
        <f>-($D$48*$D$47*(climate_data213[[#This Row],[Temperature (ºC)]]-$D$50))</f>
        <v>3.8879999999999173</v>
      </c>
      <c r="R20" s="1">
        <f t="shared" si="0"/>
        <v>0</v>
      </c>
      <c r="S20" s="1">
        <f>-($D$48*$D$43*(climate_data213[[#This Row],[Temperature (ºC)]]-$D$50))</f>
        <v>3.8399999999999181</v>
      </c>
      <c r="T20" s="1">
        <f>-($D$49*$D$46*(climate_data213[[#This Row],[Temperature (ºC)]]-$D$50))</f>
        <v>2.4839999999999467</v>
      </c>
      <c r="U20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20" s="1">
        <f>climate_data21317[[#This Row],[Heating(W)]]/Inputs!$H$51</f>
        <v>0</v>
      </c>
      <c r="W20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20" s="1">
        <f>climate_data21317[[#This Row],[Cooling (W)]]/Inputs!$H$52</f>
        <v>0</v>
      </c>
      <c r="Y20" s="1">
        <f>($D$63*MAX(occupation__114[[#This Row],[Occupation Building1]]:I43)*$D$65*$D$64*($D$62-$D$61))/(24*1000)</f>
        <v>1085.9375</v>
      </c>
    </row>
    <row r="21" spans="1:25" x14ac:dyDescent="0.35">
      <c r="A21" s="1">
        <f>climate_data__5[[#This Row],[Hour]]</f>
        <v>18</v>
      </c>
      <c r="B21" s="1">
        <f>climate_data__5[[#This Row],[Temperature (ºC)]]</f>
        <v>18.96</v>
      </c>
      <c r="C21" s="1">
        <f>climate_data__5[[#This Row],[Wind 10m (m/s)]]</f>
        <v>3.36</v>
      </c>
      <c r="D21" s="1">
        <f>climate_data__5[[#This Row],[Irradiance 0º (W/m2)]]</f>
        <v>152.11000000000001</v>
      </c>
      <c r="E21" s="1">
        <f>climate_data__5[[#This Row],[Irradiance 90º W(W/m2)]]</f>
        <v>6.04</v>
      </c>
      <c r="F21" s="1">
        <f>climate_data__5[[#This Row],[PV Power (W)]]</f>
        <v>361.77</v>
      </c>
      <c r="H21" s="1">
        <f>occupation__4[[#This Row],[Hour]]</f>
        <v>18</v>
      </c>
      <c r="I21" s="1">
        <f>occupation__4[[#This Row],[Occupation Building1]]</f>
        <v>4</v>
      </c>
      <c r="J21" s="1">
        <f>occupation__4[[#This Row],[Occupation Building2]]</f>
        <v>85</v>
      </c>
      <c r="K21" s="1">
        <f>occupation__4[[#This Row],[Occupation Building3]]</f>
        <v>150</v>
      </c>
      <c r="M21" s="1">
        <f>final_electricity__13[[#This Row],[Hour]]</f>
        <v>18</v>
      </c>
      <c r="N21" s="1">
        <f>-($D$43*$D$58 + $D$59*occupation__114[[#This Row],[Occupation Building1]])</f>
        <v>-800</v>
      </c>
      <c r="O21" s="1">
        <f>-(climate_data213[[#This Row],[Irradiance 90º W(W/m2)]]*$D$46*$D$54)</f>
        <v>-40.770000000000003</v>
      </c>
      <c r="P21" s="1">
        <f>-($D$55*$D$44*$D$57*$D$56*(climate_data213[[#This Row],[Temperature (ºC)]]-$D$50)/3.6)</f>
        <v>36.096028799999971</v>
      </c>
      <c r="Q21" s="1">
        <f>-($D$48*$D$47*(climate_data213[[#This Row],[Temperature (ºC)]]-$D$50))</f>
        <v>101.08799999999992</v>
      </c>
      <c r="R21" s="1">
        <f t="shared" si="0"/>
        <v>0</v>
      </c>
      <c r="S21" s="1">
        <f>-($D$48*$D$43*(climate_data213[[#This Row],[Temperature (ºC)]]-$D$50))</f>
        <v>99.839999999999918</v>
      </c>
      <c r="T21" s="1">
        <f>-($D$49*$D$46*(climate_data213[[#This Row],[Temperature (ºC)]]-$D$50))</f>
        <v>64.583999999999946</v>
      </c>
      <c r="U21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21" s="1">
        <f>climate_data21317[[#This Row],[Heating(W)]]/Inputs!$H$51</f>
        <v>0</v>
      </c>
      <c r="W21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21" s="1">
        <f>climate_data21317[[#This Row],[Cooling (W)]]/Inputs!$H$52</f>
        <v>0</v>
      </c>
      <c r="Y21" s="1">
        <f>($D$63*MAX(occupation__114[[#This Row],[Occupation Building1]]:I44)*$D$65*$D$64*($D$62-$D$61))/(24*1000)</f>
        <v>1085.9375</v>
      </c>
    </row>
    <row r="22" spans="1:25" x14ac:dyDescent="0.35">
      <c r="A22" s="1">
        <f>climate_data__5[[#This Row],[Hour]]</f>
        <v>19</v>
      </c>
      <c r="B22" s="1">
        <f>climate_data__5[[#This Row],[Temperature (ºC)]]</f>
        <v>17.96</v>
      </c>
      <c r="C22" s="1">
        <f>climate_data__5[[#This Row],[Wind 10m (m/s)]]</f>
        <v>3.34</v>
      </c>
      <c r="D22" s="1" t="str">
        <f>climate_data__5[[#This Row],[Irradiance 0º (W/m2)]]</f>
        <v>0</v>
      </c>
      <c r="E22" s="1" t="str">
        <f>climate_data__5[[#This Row],[Irradiance 90º W(W/m2)]]</f>
        <v>0</v>
      </c>
      <c r="F22" s="1" t="str">
        <f>climate_data__5[[#This Row],[PV Power (W)]]</f>
        <v>0</v>
      </c>
      <c r="H22" s="1">
        <f>occupation__4[[#This Row],[Hour]]</f>
        <v>19</v>
      </c>
      <c r="I22" s="1">
        <f>occupation__4[[#This Row],[Occupation Building1]]</f>
        <v>4</v>
      </c>
      <c r="J22" s="1">
        <f>occupation__4[[#This Row],[Occupation Building2]]</f>
        <v>50</v>
      </c>
      <c r="K22" s="1">
        <f>occupation__4[[#This Row],[Occupation Building3]]</f>
        <v>100</v>
      </c>
      <c r="M22" s="1">
        <f>final_electricity__13[[#This Row],[Hour]]</f>
        <v>19</v>
      </c>
      <c r="N22" s="1">
        <f>-($D$43*$D$58 + $D$59*occupation__114[[#This Row],[Occupation Building1]])</f>
        <v>-800</v>
      </c>
      <c r="O22" s="1">
        <f>-(climate_data213[[#This Row],[Irradiance 90º W(W/m2)]]*$D$46*$D$54)</f>
        <v>0</v>
      </c>
      <c r="P22" s="1">
        <f>-($D$55*$D$44*$D$57*$D$56*(climate_data213[[#This Row],[Temperature (ºC)]]-$D$50)/3.6)</f>
        <v>70.80374879999998</v>
      </c>
      <c r="Q22" s="1">
        <f>-($D$48*$D$47*(climate_data213[[#This Row],[Temperature (ºC)]]-$D$50))</f>
        <v>198.28799999999993</v>
      </c>
      <c r="R22" s="1">
        <f t="shared" si="0"/>
        <v>0</v>
      </c>
      <c r="S22" s="1">
        <f>-($D$48*$D$43*(climate_data213[[#This Row],[Temperature (ºC)]]-$D$50))</f>
        <v>195.83999999999992</v>
      </c>
      <c r="T22" s="1">
        <f>-($D$49*$D$46*(climate_data213[[#This Row],[Temperature (ºC)]]-$D$50))</f>
        <v>126.68399999999994</v>
      </c>
      <c r="U22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22" s="1">
        <f>climate_data21317[[#This Row],[Heating(W)]]/Inputs!$H$51</f>
        <v>0</v>
      </c>
      <c r="W22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22" s="1">
        <f>climate_data21317[[#This Row],[Cooling (W)]]/Inputs!$H$52</f>
        <v>0</v>
      </c>
      <c r="Y22" s="1">
        <f>($D$63*MAX(occupation__114[[#This Row],[Occupation Building1]]:I45)*$D$65*$D$64*($D$62-$D$61))/(24*1000)</f>
        <v>1085.9375</v>
      </c>
    </row>
    <row r="23" spans="1:25" x14ac:dyDescent="0.35">
      <c r="A23" s="1">
        <f>climate_data__5[[#This Row],[Hour]]</f>
        <v>20</v>
      </c>
      <c r="B23" s="1">
        <f>climate_data__5[[#This Row],[Temperature (ºC)]]</f>
        <v>17.36</v>
      </c>
      <c r="C23" s="1">
        <f>climate_data__5[[#This Row],[Wind 10m (m/s)]]</f>
        <v>2.96</v>
      </c>
      <c r="D23" s="1" t="str">
        <f>climate_data__5[[#This Row],[Irradiance 0º (W/m2)]]</f>
        <v>0</v>
      </c>
      <c r="E23" s="1" t="str">
        <f>climate_data__5[[#This Row],[Irradiance 90º W(W/m2)]]</f>
        <v>0</v>
      </c>
      <c r="F23" s="1" t="str">
        <f>climate_data__5[[#This Row],[PV Power (W)]]</f>
        <v>0</v>
      </c>
      <c r="H23" s="1">
        <f>occupation__4[[#This Row],[Hour]]</f>
        <v>20</v>
      </c>
      <c r="I23" s="1">
        <f>occupation__4[[#This Row],[Occupation Building1]]</f>
        <v>5</v>
      </c>
      <c r="J23" s="1">
        <f>occupation__4[[#This Row],[Occupation Building2]]</f>
        <v>10</v>
      </c>
      <c r="K23" s="1">
        <f>occupation__4[[#This Row],[Occupation Building3]]</f>
        <v>80</v>
      </c>
      <c r="M23" s="1">
        <f>final_electricity__13[[#This Row],[Hour]]</f>
        <v>20</v>
      </c>
      <c r="N23" s="1">
        <f>-($D$43*$D$58 + $D$59*occupation__114[[#This Row],[Occupation Building1]])</f>
        <v>-920</v>
      </c>
      <c r="O23" s="1">
        <f>-(climate_data213[[#This Row],[Irradiance 90º W(W/m2)]]*$D$46*$D$54)</f>
        <v>0</v>
      </c>
      <c r="P23" s="1">
        <f>-($D$55*$D$44*$D$57*$D$56*(climate_data213[[#This Row],[Temperature (ºC)]]-$D$50)/3.6)</f>
        <v>91.628380800000016</v>
      </c>
      <c r="Q23" s="1">
        <f>-($D$48*$D$47*(climate_data213[[#This Row],[Temperature (ºC)]]-$D$50))</f>
        <v>256.60800000000006</v>
      </c>
      <c r="R23" s="1">
        <f t="shared" si="0"/>
        <v>0</v>
      </c>
      <c r="S23" s="1">
        <f>-($D$48*$D$43*(climate_data213[[#This Row],[Temperature (ºC)]]-$D$50))</f>
        <v>253.44000000000005</v>
      </c>
      <c r="T23" s="1">
        <f>-($D$49*$D$46*(climate_data213[[#This Row],[Temperature (ºC)]]-$D$50))</f>
        <v>163.94400000000002</v>
      </c>
      <c r="U23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23" s="1">
        <f>climate_data21317[[#This Row],[Heating(W)]]/Inputs!$H$51</f>
        <v>0</v>
      </c>
      <c r="W23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23" s="1">
        <f>climate_data21317[[#This Row],[Cooling (W)]]/Inputs!$H$52</f>
        <v>0</v>
      </c>
      <c r="Y23" s="1">
        <f>($D$63*MAX(occupation__114[[#This Row],[Occupation Building1]]:I46)*$D$65*$D$64*($D$62-$D$61))/(24*1000)</f>
        <v>1085.9375</v>
      </c>
    </row>
    <row r="24" spans="1:25" x14ac:dyDescent="0.35">
      <c r="A24" s="1">
        <f>climate_data__5[[#This Row],[Hour]]</f>
        <v>21</v>
      </c>
      <c r="B24" s="1">
        <f>climate_data__5[[#This Row],[Temperature (ºC)]]</f>
        <v>16.760000000000002</v>
      </c>
      <c r="C24" s="1">
        <f>climate_data__5[[#This Row],[Wind 10m (m/s)]]</f>
        <v>2.58</v>
      </c>
      <c r="D24" s="1" t="str">
        <f>climate_data__5[[#This Row],[Irradiance 0º (W/m2)]]</f>
        <v>0</v>
      </c>
      <c r="E24" s="1" t="str">
        <f>climate_data__5[[#This Row],[Irradiance 90º W(W/m2)]]</f>
        <v>0</v>
      </c>
      <c r="F24" s="1" t="str">
        <f>climate_data__5[[#This Row],[PV Power (W)]]</f>
        <v>0</v>
      </c>
      <c r="H24" s="1">
        <f>occupation__4[[#This Row],[Hour]]</f>
        <v>21</v>
      </c>
      <c r="I24" s="1">
        <f>occupation__4[[#This Row],[Occupation Building1]]</f>
        <v>5</v>
      </c>
      <c r="J24" s="1">
        <f>occupation__4[[#This Row],[Occupation Building2]]</f>
        <v>5</v>
      </c>
      <c r="K24" s="1">
        <f>occupation__4[[#This Row],[Occupation Building3]]</f>
        <v>70</v>
      </c>
      <c r="M24" s="1">
        <f>final_electricity__13[[#This Row],[Hour]]</f>
        <v>21</v>
      </c>
      <c r="N24" s="1">
        <f>-($D$43*$D$58 + $D$59*occupation__114[[#This Row],[Occupation Building1]])</f>
        <v>-920</v>
      </c>
      <c r="O24" s="1">
        <f>-(climate_data213[[#This Row],[Irradiance 90º W(W/m2)]]*$D$46*$D$54)</f>
        <v>0</v>
      </c>
      <c r="P24" s="1">
        <f>-($D$55*$D$44*$D$57*$D$56*(climate_data213[[#This Row],[Temperature (ºC)]]-$D$50)/3.6)</f>
        <v>112.45301279999995</v>
      </c>
      <c r="Q24" s="1">
        <f>-($D$48*$D$47*(climate_data213[[#This Row],[Temperature (ºC)]]-$D$50))</f>
        <v>314.92799999999988</v>
      </c>
      <c r="R24" s="1">
        <f t="shared" si="0"/>
        <v>0</v>
      </c>
      <c r="S24" s="1">
        <f>-($D$48*$D$43*(climate_data213[[#This Row],[Temperature (ºC)]]-$D$50))</f>
        <v>311.03999999999985</v>
      </c>
      <c r="T24" s="1">
        <f>-($D$49*$D$46*(climate_data213[[#This Row],[Temperature (ºC)]]-$D$50))</f>
        <v>201.20399999999989</v>
      </c>
      <c r="U24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24" s="1">
        <f>climate_data21317[[#This Row],[Heating(W)]]/Inputs!$H$51</f>
        <v>0</v>
      </c>
      <c r="W24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24" s="1">
        <f>climate_data21317[[#This Row],[Cooling (W)]]/Inputs!$H$52</f>
        <v>0</v>
      </c>
      <c r="Y24" s="1">
        <f>($D$63*MAX(occupation__114[[#This Row],[Occupation Building1]]:I47)*$D$65*$D$64*($D$62-$D$61))/(24*1000)</f>
        <v>1085.9375</v>
      </c>
    </row>
    <row r="25" spans="1:25" x14ac:dyDescent="0.35">
      <c r="A25" s="1">
        <f>climate_data__5[[#This Row],[Hour]]</f>
        <v>22</v>
      </c>
      <c r="B25" s="1">
        <f>climate_data__5[[#This Row],[Temperature (ºC)]]</f>
        <v>16.16</v>
      </c>
      <c r="C25" s="1">
        <f>climate_data__5[[#This Row],[Wind 10m (m/s)]]</f>
        <v>2.21</v>
      </c>
      <c r="D25" s="1" t="str">
        <f>climate_data__5[[#This Row],[Irradiance 0º (W/m2)]]</f>
        <v>0</v>
      </c>
      <c r="E25" s="1" t="str">
        <f>climate_data__5[[#This Row],[Irradiance 90º W(W/m2)]]</f>
        <v>0</v>
      </c>
      <c r="F25" s="1" t="str">
        <f>climate_data__5[[#This Row],[PV Power (W)]]</f>
        <v>0</v>
      </c>
      <c r="H25" s="1">
        <f>occupation__4[[#This Row],[Hour]]</f>
        <v>22</v>
      </c>
      <c r="I25" s="1">
        <f>occupation__4[[#This Row],[Occupation Building1]]</f>
        <v>5</v>
      </c>
      <c r="J25" s="1">
        <f>occupation__4[[#This Row],[Occupation Building2]]</f>
        <v>0</v>
      </c>
      <c r="K25" s="1">
        <f>occupation__4[[#This Row],[Occupation Building3]]</f>
        <v>60</v>
      </c>
      <c r="M25" s="1">
        <f>final_electricity__13[[#This Row],[Hour]]</f>
        <v>22</v>
      </c>
      <c r="N25" s="1">
        <f>-($D$43*$D$58 + $D$59*occupation__114[[#This Row],[Occupation Building1]])</f>
        <v>-920</v>
      </c>
      <c r="O25" s="1">
        <f>-(climate_data213[[#This Row],[Irradiance 90º W(W/m2)]]*$D$46*$D$54)</f>
        <v>0</v>
      </c>
      <c r="P25" s="1">
        <f>-($D$55*$D$44*$D$57*$D$56*(climate_data213[[#This Row],[Temperature (ºC)]]-$D$50)/3.6)</f>
        <v>133.27764479999999</v>
      </c>
      <c r="Q25" s="1">
        <f>-($D$48*$D$47*(climate_data213[[#This Row],[Temperature (ºC)]]-$D$50))</f>
        <v>373.24799999999999</v>
      </c>
      <c r="R25" s="1">
        <f t="shared" si="0"/>
        <v>0</v>
      </c>
      <c r="S25" s="1">
        <f>-($D$48*$D$43*(climate_data213[[#This Row],[Temperature (ºC)]]-$D$50))</f>
        <v>368.64</v>
      </c>
      <c r="T25" s="1">
        <f>-($D$49*$D$46*(climate_data213[[#This Row],[Temperature (ºC)]]-$D$50))</f>
        <v>238.46399999999997</v>
      </c>
      <c r="U25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25" s="1">
        <f>climate_data21317[[#This Row],[Heating(W)]]/Inputs!$H$51</f>
        <v>0</v>
      </c>
      <c r="W25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25" s="1">
        <f>climate_data21317[[#This Row],[Cooling (W)]]/Inputs!$H$52</f>
        <v>0</v>
      </c>
      <c r="Y25" s="1">
        <f>($D$63*MAX(occupation__114[[#This Row],[Occupation Building1]]:I48)*$D$65*$D$64*($D$62-$D$61))/(24*1000)</f>
        <v>1085.9375</v>
      </c>
    </row>
    <row r="26" spans="1:25" x14ac:dyDescent="0.35">
      <c r="A26" s="1">
        <f>climate_data__5[[#This Row],[Hour]]</f>
        <v>23</v>
      </c>
      <c r="B26" s="1">
        <f>climate_data__5[[#This Row],[Temperature (ºC)]]</f>
        <v>16.04</v>
      </c>
      <c r="C26" s="1">
        <f>climate_data__5[[#This Row],[Wind 10m (m/s)]]</f>
        <v>1.65</v>
      </c>
      <c r="D26" s="1" t="str">
        <f>climate_data__5[[#This Row],[Irradiance 0º (W/m2)]]</f>
        <v>0</v>
      </c>
      <c r="E26" s="1" t="str">
        <f>climate_data__5[[#This Row],[Irradiance 90º W(W/m2)]]</f>
        <v>0</v>
      </c>
      <c r="F26" s="1" t="str">
        <f>climate_data__5[[#This Row],[PV Power (W)]]</f>
        <v>0</v>
      </c>
      <c r="H26" s="1">
        <f>occupation__4[[#This Row],[Hour]]</f>
        <v>23</v>
      </c>
      <c r="I26" s="1">
        <f>occupation__4[[#This Row],[Occupation Building1]]</f>
        <v>5</v>
      </c>
      <c r="J26" s="1">
        <f>occupation__4[[#This Row],[Occupation Building2]]</f>
        <v>0</v>
      </c>
      <c r="K26" s="1">
        <f>occupation__4[[#This Row],[Occupation Building3]]</f>
        <v>50</v>
      </c>
      <c r="M26" s="1">
        <f>final_electricity__13[[#This Row],[Hour]]</f>
        <v>23</v>
      </c>
      <c r="N26" s="1">
        <f>-($D$43*$D$58 + $D$59*occupation__114[[#This Row],[Occupation Building1]])</f>
        <v>-920</v>
      </c>
      <c r="O26" s="1">
        <f>-(climate_data213[[#This Row],[Irradiance 90º W(W/m2)]]*$D$46*$D$54)</f>
        <v>0</v>
      </c>
      <c r="P26" s="1">
        <f>-($D$55*$D$44*$D$57*$D$56*(climate_data213[[#This Row],[Temperature (ºC)]]-$D$50)/3.6)</f>
        <v>137.44257120000003</v>
      </c>
      <c r="Q26" s="1">
        <f>-($D$48*$D$47*(climate_data213[[#This Row],[Temperature (ºC)]]-$D$50))</f>
        <v>384.91200000000009</v>
      </c>
      <c r="R26" s="1">
        <f t="shared" si="0"/>
        <v>0</v>
      </c>
      <c r="S26" s="1">
        <f>-($D$48*$D$43*(climate_data213[[#This Row],[Temperature (ºC)]]-$D$50))</f>
        <v>380.16000000000008</v>
      </c>
      <c r="T26" s="1">
        <f>-($D$49*$D$46*(climate_data213[[#This Row],[Temperature (ºC)]]-$D$50))</f>
        <v>245.91600000000003</v>
      </c>
      <c r="U26" s="1">
        <f>IF(AND(climate_data213[[#This Row],[Temperature (ºC)]] &lt; 16,occupation__114[[#This Row],[Occupation Building1]]&gt;0), SUM(climate_data21317[[#This Row],[Internal gains (W)]]:climate_data21317[[#This Row],[Cond. Windows (W)]]),0)</f>
        <v>0</v>
      </c>
      <c r="V26" s="1">
        <f>climate_data21317[[#This Row],[Heating(W)]]/Inputs!$H$51</f>
        <v>0</v>
      </c>
      <c r="W26" s="1">
        <f>IF(AND(climate_data213[[#This Row],[Temperature (ºC)]] &gt; 25,occupation__114[[#This Row],[Occupation Building1]]&gt;0),SUM(climate_data21317[[#This Row],[Internal gains (W)]]:climate_data21317[[#This Row],[Cond. Windows (W)]]),0)</f>
        <v>0</v>
      </c>
      <c r="X26" s="1">
        <f>climate_data21317[[#This Row],[Cooling (W)]]/Inputs!$H$52</f>
        <v>0</v>
      </c>
      <c r="Y26" s="1">
        <f>($D$63*MAX(occupation__114[[#This Row],[Occupation Building1]]:I49)*$D$65*$D$64*($D$62-$D$61))/(24*1000)</f>
        <v>1085.9375</v>
      </c>
    </row>
    <row r="29" spans="1:25" x14ac:dyDescent="0.35">
      <c r="C29" s="125" t="s">
        <v>46</v>
      </c>
      <c r="D29" s="125"/>
      <c r="E29" s="125"/>
      <c r="F29" s="125"/>
    </row>
    <row r="30" spans="1:25" ht="15.5" x14ac:dyDescent="0.35">
      <c r="C30" s="16" t="s">
        <v>92</v>
      </c>
      <c r="D30" s="10">
        <f>Inputs!E39/Inputs!E40*3600</f>
        <v>3085.7142857142853</v>
      </c>
      <c r="E30" s="16" t="s">
        <v>86</v>
      </c>
      <c r="F30" s="10">
        <f>0.5*$D$38*$D$35*$D$36*D31^2*SIGN(D31)</f>
        <v>40.640083912037028</v>
      </c>
    </row>
    <row r="31" spans="1:25" ht="15.5" x14ac:dyDescent="0.35">
      <c r="C31" s="16" t="s">
        <v>93</v>
      </c>
      <c r="D31" s="10">
        <f>Inputs!E40/3.6</f>
        <v>9.7222222222222214</v>
      </c>
      <c r="E31" s="16" t="s">
        <v>87</v>
      </c>
      <c r="F31" s="10">
        <f>$D$37*$D$34*$D$39*COS(D32)*SIGN(D31)</f>
        <v>1470</v>
      </c>
    </row>
    <row r="32" spans="1:25" ht="15.5" x14ac:dyDescent="0.35">
      <c r="C32" s="16" t="s">
        <v>94</v>
      </c>
      <c r="D32" s="10" t="str">
        <f>Inputs!E41</f>
        <v>0</v>
      </c>
      <c r="E32" s="16" t="s">
        <v>88</v>
      </c>
      <c r="F32" s="10">
        <f>$D$34*D33</f>
        <v>0</v>
      </c>
      <c r="I32" s="109" t="s">
        <v>134</v>
      </c>
      <c r="J32" s="110"/>
      <c r="K32" s="111" t="s">
        <v>135</v>
      </c>
      <c r="L32" s="112"/>
    </row>
    <row r="33" spans="3:12" ht="15.5" x14ac:dyDescent="0.35">
      <c r="C33" s="16" t="s">
        <v>95</v>
      </c>
      <c r="D33" s="10" t="str">
        <f>Inputs!E42</f>
        <v>0</v>
      </c>
      <c r="E33" s="16" t="s">
        <v>89</v>
      </c>
      <c r="F33" s="10">
        <f>$D$34*$D$39*SIN(D32)</f>
        <v>0</v>
      </c>
      <c r="I33" s="13" t="s">
        <v>138</v>
      </c>
      <c r="J33" s="15">
        <f>F37</f>
        <v>12.58866736593364</v>
      </c>
      <c r="K33" s="14" t="s">
        <v>142</v>
      </c>
      <c r="L33" s="22">
        <f>J33/(Inputs!E43*Inputs!E44)</f>
        <v>14.723587562495485</v>
      </c>
    </row>
    <row r="34" spans="3:12" ht="15.5" x14ac:dyDescent="0.35">
      <c r="C34" s="16" t="s">
        <v>96</v>
      </c>
      <c r="D34" s="10" t="str">
        <f>Inputs!E33</f>
        <v>1500</v>
      </c>
      <c r="E34" s="16" t="s">
        <v>90</v>
      </c>
      <c r="F34" s="10">
        <f>SUM(F30:F33)</f>
        <v>1510.640083912037</v>
      </c>
      <c r="I34" s="13" t="s">
        <v>139</v>
      </c>
      <c r="J34" s="15">
        <f>SUM(climate_data21317[Water Heating (KJ)])/3600</f>
        <v>7.239583333333333</v>
      </c>
      <c r="K34" s="14" t="s">
        <v>143</v>
      </c>
      <c r="L34" s="22">
        <f>J34/Inputs!H53</f>
        <v>2.0684523809523809</v>
      </c>
    </row>
    <row r="35" spans="3:12" ht="15.5" x14ac:dyDescent="0.35">
      <c r="C35" s="16" t="s">
        <v>97</v>
      </c>
      <c r="D35" s="10">
        <f>Inputs!E34</f>
        <v>2.5499999999999998</v>
      </c>
      <c r="E35" s="16" t="s">
        <v>91</v>
      </c>
      <c r="F35" s="10">
        <f>D31*F34</f>
        <v>14686.778593589248</v>
      </c>
      <c r="I35" s="13" t="s">
        <v>140</v>
      </c>
      <c r="J35" s="15">
        <f>SUM(climate_data21317[Heating(W)])*10^-3</f>
        <v>4.4731267103999999</v>
      </c>
      <c r="K35" s="14" t="s">
        <v>144</v>
      </c>
      <c r="L35" s="22">
        <f>SUM(climate_data21317[Heating Electricity (Wh)])*10^-3</f>
        <v>1.1182816776</v>
      </c>
    </row>
    <row r="36" spans="3:12" ht="15.5" x14ac:dyDescent="0.35">
      <c r="C36" s="16" t="s">
        <v>98</v>
      </c>
      <c r="D36" s="10">
        <f>Inputs!E35</f>
        <v>0.26</v>
      </c>
      <c r="E36" s="16" t="s">
        <v>107</v>
      </c>
      <c r="F36" s="10">
        <f>F35*D30</f>
        <v>45319202.517361104</v>
      </c>
      <c r="I36" s="13" t="s">
        <v>141</v>
      </c>
      <c r="J36" s="15">
        <f>SUM(climate_data21317[Cooling (W)])*10^-3</f>
        <v>0</v>
      </c>
      <c r="K36" s="14" t="s">
        <v>145</v>
      </c>
      <c r="L36" s="22">
        <f>SUM(climate_data21317[Cooling Electricity (Wh)])*10^-3</f>
        <v>0</v>
      </c>
    </row>
    <row r="37" spans="3:12" ht="15.5" x14ac:dyDescent="0.35">
      <c r="C37" s="16" t="s">
        <v>99</v>
      </c>
      <c r="D37" s="10">
        <f>Inputs!E36</f>
        <v>0.1</v>
      </c>
      <c r="E37" s="20" t="s">
        <v>108</v>
      </c>
      <c r="F37" s="20">
        <f>F36/(3.6*10^6)</f>
        <v>12.58866736593364</v>
      </c>
    </row>
    <row r="38" spans="3:12" ht="15.5" x14ac:dyDescent="0.35">
      <c r="C38" s="16" t="s">
        <v>100</v>
      </c>
      <c r="D38" s="10">
        <f>Inputs!E37</f>
        <v>1.2969999999999999</v>
      </c>
    </row>
    <row r="39" spans="3:12" ht="15.5" x14ac:dyDescent="0.35">
      <c r="C39" s="16" t="s">
        <v>101</v>
      </c>
      <c r="D39" s="10">
        <f>Inputs!E38</f>
        <v>9.8000000000000007</v>
      </c>
      <c r="E39" s="1"/>
      <c r="F39" s="1"/>
    </row>
    <row r="41" spans="3:12" x14ac:dyDescent="0.35">
      <c r="C41" s="125" t="s">
        <v>133</v>
      </c>
      <c r="D41" s="125"/>
    </row>
    <row r="42" spans="3:12" x14ac:dyDescent="0.35">
      <c r="C42" s="17" t="s">
        <v>109</v>
      </c>
      <c r="D42" s="11">
        <f>(Inputs!H33*Inputs!H35)*2 + (Inputs!H34*Inputs!H35)*2</f>
        <v>108</v>
      </c>
    </row>
    <row r="43" spans="3:12" x14ac:dyDescent="0.35">
      <c r="C43" s="17" t="s">
        <v>114</v>
      </c>
      <c r="D43" s="11">
        <f>Inputs!H33*Inputs!H34</f>
        <v>80</v>
      </c>
    </row>
    <row r="44" spans="3:12" x14ac:dyDescent="0.35">
      <c r="C44" s="17" t="s">
        <v>102</v>
      </c>
      <c r="D44" s="11">
        <f>D43*Inputs!H35</f>
        <v>240</v>
      </c>
    </row>
    <row r="45" spans="3:12" x14ac:dyDescent="0.35">
      <c r="C45" s="17" t="s">
        <v>103</v>
      </c>
      <c r="D45" s="11">
        <f>(Inputs!H33*Inputs!H35)*2 + (Inputs!H34*Inputs!H35)*2 + D43*2</f>
        <v>268</v>
      </c>
    </row>
    <row r="46" spans="3:12" x14ac:dyDescent="0.35">
      <c r="C46" s="17" t="s">
        <v>104</v>
      </c>
      <c r="D46" s="11">
        <f>D42*Inputs!H38</f>
        <v>27</v>
      </c>
    </row>
    <row r="47" spans="3:12" x14ac:dyDescent="0.35">
      <c r="C47" s="17" t="s">
        <v>110</v>
      </c>
      <c r="D47" s="11">
        <f>D42-D46</f>
        <v>81</v>
      </c>
    </row>
    <row r="48" spans="3:12" x14ac:dyDescent="0.35">
      <c r="C48" s="17" t="s">
        <v>51</v>
      </c>
      <c r="D48" s="11">
        <f>Inputs!H36</f>
        <v>1.2</v>
      </c>
    </row>
    <row r="49" spans="3:4" x14ac:dyDescent="0.35">
      <c r="C49" s="17" t="s">
        <v>52</v>
      </c>
      <c r="D49" s="11">
        <f>Inputs!H37</f>
        <v>2.2999999999999998</v>
      </c>
    </row>
    <row r="50" spans="3:4" x14ac:dyDescent="0.35">
      <c r="C50" s="17" t="s">
        <v>111</v>
      </c>
      <c r="D50" s="11">
        <f>Inputs!H40</f>
        <v>20</v>
      </c>
    </row>
    <row r="51" spans="3:4" x14ac:dyDescent="0.35">
      <c r="C51" s="17" t="s">
        <v>112</v>
      </c>
      <c r="D51" s="11">
        <f>Inputs!H41</f>
        <v>16</v>
      </c>
    </row>
    <row r="52" spans="3:4" x14ac:dyDescent="0.35">
      <c r="C52" s="17" t="s">
        <v>113</v>
      </c>
      <c r="D52" s="11">
        <f>Inputs!H42</f>
        <v>24</v>
      </c>
    </row>
    <row r="53" spans="3:4" x14ac:dyDescent="0.35">
      <c r="C53" s="17" t="s">
        <v>105</v>
      </c>
      <c r="D53" s="11">
        <f>Inputs!H43</f>
        <v>20</v>
      </c>
    </row>
    <row r="54" spans="3:4" x14ac:dyDescent="0.35">
      <c r="C54" s="17" t="s">
        <v>106</v>
      </c>
      <c r="D54" s="11">
        <f>Inputs!H46</f>
        <v>0.25</v>
      </c>
    </row>
    <row r="55" spans="3:4" x14ac:dyDescent="0.35">
      <c r="C55" s="17" t="s">
        <v>54</v>
      </c>
      <c r="D55" s="11">
        <f>Inputs!H39</f>
        <v>0.4</v>
      </c>
    </row>
    <row r="56" spans="3:4" x14ac:dyDescent="0.35">
      <c r="C56" s="17" t="s">
        <v>69</v>
      </c>
      <c r="D56" s="11">
        <f>Inputs!H54</f>
        <v>1.0035000000000001</v>
      </c>
    </row>
    <row r="57" spans="3:4" x14ac:dyDescent="0.35">
      <c r="C57" s="17" t="s">
        <v>124</v>
      </c>
      <c r="D57" s="11">
        <f>building1_data[[#This Row],[Column2]]</f>
        <v>1.2969999999999999</v>
      </c>
    </row>
    <row r="58" spans="3:4" x14ac:dyDescent="0.35">
      <c r="C58" s="17" t="s">
        <v>60</v>
      </c>
      <c r="D58" s="11">
        <f>Inputs!H45</f>
        <v>4</v>
      </c>
    </row>
    <row r="59" spans="3:4" x14ac:dyDescent="0.35">
      <c r="C59" s="17" t="s">
        <v>59</v>
      </c>
      <c r="D59" s="11">
        <f>Inputs!H44</f>
        <v>120</v>
      </c>
    </row>
    <row r="60" spans="3:4" x14ac:dyDescent="0.35">
      <c r="C60" s="17" t="s">
        <v>62</v>
      </c>
      <c r="D60" s="11">
        <f>Inputs!H47</f>
        <v>40</v>
      </c>
    </row>
    <row r="61" spans="3:4" x14ac:dyDescent="0.35">
      <c r="C61" s="17" t="s">
        <v>63</v>
      </c>
      <c r="D61" s="11">
        <f>Inputs!H48</f>
        <v>20</v>
      </c>
    </row>
    <row r="62" spans="3:4" x14ac:dyDescent="0.35">
      <c r="C62" s="17" t="s">
        <v>64</v>
      </c>
      <c r="D62" s="11">
        <f>Inputs!H49</f>
        <v>45</v>
      </c>
    </row>
    <row r="63" spans="3:4" x14ac:dyDescent="0.35">
      <c r="C63" s="17" t="s">
        <v>65</v>
      </c>
      <c r="D63" s="11">
        <f>Inputs!H50</f>
        <v>50</v>
      </c>
    </row>
    <row r="64" spans="3:4" x14ac:dyDescent="0.35">
      <c r="C64" s="17" t="s">
        <v>70</v>
      </c>
      <c r="D64" s="11">
        <f>Inputs!H55</f>
        <v>4.17</v>
      </c>
    </row>
    <row r="65" spans="3:4" ht="15.5" x14ac:dyDescent="0.35">
      <c r="C65" s="18" t="s">
        <v>128</v>
      </c>
      <c r="D65" s="11">
        <f>Inputs!H56</f>
        <v>1000</v>
      </c>
    </row>
    <row r="66" spans="3:4" x14ac:dyDescent="0.35">
      <c r="C66" s="1"/>
      <c r="D66" s="1"/>
    </row>
    <row r="67" spans="3:4" x14ac:dyDescent="0.35">
      <c r="C67" s="1"/>
      <c r="D67" s="1"/>
    </row>
    <row r="68" spans="3:4" x14ac:dyDescent="0.35">
      <c r="C68" s="1"/>
      <c r="D68" s="1"/>
    </row>
    <row r="69" spans="3:4" x14ac:dyDescent="0.35">
      <c r="C69" s="1"/>
      <c r="D69" s="1"/>
    </row>
    <row r="70" spans="3:4" x14ac:dyDescent="0.35">
      <c r="C70" s="1"/>
      <c r="D70" s="1"/>
    </row>
    <row r="71" spans="3:4" x14ac:dyDescent="0.35">
      <c r="C71" s="1"/>
      <c r="D71" s="1"/>
    </row>
  </sheetData>
  <mergeCells count="8">
    <mergeCell ref="Q1:T1"/>
    <mergeCell ref="C29:F29"/>
    <mergeCell ref="U1:X1"/>
    <mergeCell ref="C41:D41"/>
    <mergeCell ref="I32:J32"/>
    <mergeCell ref="K32:L32"/>
    <mergeCell ref="A1:F1"/>
    <mergeCell ref="H1:K1"/>
  </mergeCells>
  <phoneticPr fontId="2" type="noConversion"/>
  <pageMargins left="0.7" right="0.7" top="0.75" bottom="0.75" header="0.3" footer="0.3"/>
  <ignoredErrors>
    <ignoredError sqref="Y3 T3:U3" evalError="1"/>
  </ignoredErrors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E0008-BEF1-462C-A741-A934B58A8A87}">
  <sheetPr codeName="Sheet12"/>
  <dimension ref="A1:I26"/>
  <sheetViews>
    <sheetView zoomScale="60" zoomScaleNormal="60" workbookViewId="0">
      <selection activeCell="K30" sqref="K30"/>
    </sheetView>
  </sheetViews>
  <sheetFormatPr defaultRowHeight="14.5" x14ac:dyDescent="0.35"/>
  <cols>
    <col min="1" max="1" width="12.90625" customWidth="1"/>
    <col min="2" max="2" width="20.90625" customWidth="1"/>
    <col min="3" max="3" width="18.7265625" customWidth="1"/>
    <col min="4" max="4" width="18.81640625" customWidth="1"/>
    <col min="5" max="5" width="21.08984375" customWidth="1"/>
    <col min="6" max="6" width="19.36328125" customWidth="1"/>
    <col min="7" max="7" width="19" customWidth="1"/>
    <col min="9" max="9" width="12.6328125" bestFit="1" customWidth="1"/>
    <col min="10" max="10" width="17.6328125" bestFit="1" customWidth="1"/>
    <col min="11" max="11" width="17.1796875" bestFit="1" customWidth="1"/>
    <col min="12" max="12" width="17.6328125" bestFit="1" customWidth="1"/>
    <col min="13" max="13" width="17.1796875" bestFit="1" customWidth="1"/>
    <col min="14" max="14" width="17.6328125" bestFit="1" customWidth="1"/>
    <col min="15" max="15" width="17.1796875" bestFit="1" customWidth="1"/>
  </cols>
  <sheetData>
    <row r="1" spans="1:9" ht="18.5" x14ac:dyDescent="0.45">
      <c r="A1" s="107" t="s">
        <v>78</v>
      </c>
      <c r="B1" s="107"/>
      <c r="C1" s="107"/>
      <c r="D1" s="107"/>
      <c r="E1" s="107"/>
      <c r="F1" s="107"/>
      <c r="G1" s="107"/>
      <c r="I1" s="34"/>
    </row>
    <row r="2" spans="1:9" x14ac:dyDescent="0.35">
      <c r="A2" s="1" t="s">
        <v>3</v>
      </c>
      <c r="B2" s="1" t="s">
        <v>72</v>
      </c>
      <c r="C2" s="1" t="s">
        <v>73</v>
      </c>
      <c r="D2" s="1" t="s">
        <v>74</v>
      </c>
      <c r="E2" s="1" t="s">
        <v>75</v>
      </c>
      <c r="F2" s="1" t="s">
        <v>76</v>
      </c>
      <c r="G2" s="1" t="s">
        <v>77</v>
      </c>
      <c r="I2" s="1"/>
    </row>
    <row r="3" spans="1:9" x14ac:dyDescent="0.35">
      <c r="A3" s="1">
        <v>0</v>
      </c>
      <c r="B3">
        <v>0.109</v>
      </c>
      <c r="C3">
        <v>4.5999999999999999E-2</v>
      </c>
      <c r="D3">
        <v>0.1147</v>
      </c>
      <c r="E3">
        <v>2.3599999999999999E-2</v>
      </c>
      <c r="F3">
        <v>0.1212</v>
      </c>
      <c r="G3">
        <v>2.3599999999999999E-2</v>
      </c>
    </row>
    <row r="4" spans="1:9" x14ac:dyDescent="0.35">
      <c r="A4" s="1">
        <v>1</v>
      </c>
      <c r="B4">
        <v>0.109</v>
      </c>
      <c r="C4">
        <v>4.5999999999999999E-2</v>
      </c>
      <c r="D4">
        <v>0.1147</v>
      </c>
      <c r="E4">
        <v>2.3599999999999999E-2</v>
      </c>
      <c r="F4">
        <v>0.1212</v>
      </c>
      <c r="G4">
        <v>2.3599999999999999E-2</v>
      </c>
    </row>
    <row r="5" spans="1:9" x14ac:dyDescent="0.35">
      <c r="A5" s="1">
        <v>2</v>
      </c>
      <c r="B5">
        <v>0.109</v>
      </c>
      <c r="C5">
        <v>4.5999999999999999E-2</v>
      </c>
      <c r="D5">
        <v>0.09</v>
      </c>
      <c r="E5">
        <v>2.3400000000000001E-2</v>
      </c>
      <c r="F5">
        <v>0.10680000000000001</v>
      </c>
      <c r="G5">
        <v>2.3400000000000001E-2</v>
      </c>
    </row>
    <row r="6" spans="1:9" x14ac:dyDescent="0.35">
      <c r="A6" s="1">
        <v>3</v>
      </c>
      <c r="B6">
        <v>0.109</v>
      </c>
      <c r="C6">
        <v>4.5999999999999999E-2</v>
      </c>
      <c r="D6">
        <v>0.09</v>
      </c>
      <c r="E6">
        <v>2.3400000000000001E-2</v>
      </c>
      <c r="F6">
        <v>0.10680000000000001</v>
      </c>
      <c r="G6">
        <v>2.3400000000000001E-2</v>
      </c>
    </row>
    <row r="7" spans="1:9" x14ac:dyDescent="0.35">
      <c r="A7" s="1">
        <v>4</v>
      </c>
      <c r="B7">
        <v>0.109</v>
      </c>
      <c r="C7">
        <v>4.5999999999999999E-2</v>
      </c>
      <c r="D7">
        <v>0.09</v>
      </c>
      <c r="E7">
        <v>2.3400000000000001E-2</v>
      </c>
      <c r="F7">
        <v>0.10680000000000001</v>
      </c>
      <c r="G7">
        <v>2.3400000000000001E-2</v>
      </c>
    </row>
    <row r="8" spans="1:9" x14ac:dyDescent="0.35">
      <c r="A8" s="1">
        <v>5</v>
      </c>
      <c r="B8">
        <v>0.109</v>
      </c>
      <c r="C8">
        <v>4.5999999999999999E-2</v>
      </c>
      <c r="D8">
        <v>0.09</v>
      </c>
      <c r="E8">
        <v>2.3400000000000001E-2</v>
      </c>
      <c r="F8">
        <v>0.10680000000000001</v>
      </c>
      <c r="G8">
        <v>2.3400000000000001E-2</v>
      </c>
    </row>
    <row r="9" spans="1:9" x14ac:dyDescent="0.35">
      <c r="A9" s="1">
        <v>6</v>
      </c>
      <c r="B9">
        <v>0.109</v>
      </c>
      <c r="C9">
        <v>6.6000000000000003E-2</v>
      </c>
      <c r="D9">
        <v>0.1147</v>
      </c>
      <c r="E9">
        <v>2.3599999999999999E-2</v>
      </c>
      <c r="F9">
        <v>0.13120000000000001</v>
      </c>
      <c r="G9">
        <v>2.3599999999999999E-2</v>
      </c>
    </row>
    <row r="10" spans="1:9" x14ac:dyDescent="0.35">
      <c r="A10" s="1">
        <v>7</v>
      </c>
      <c r="B10">
        <v>0.1956</v>
      </c>
      <c r="C10">
        <v>6.6000000000000003E-2</v>
      </c>
      <c r="D10">
        <v>0.15690000000000001</v>
      </c>
      <c r="E10">
        <v>2.3599999999999999E-2</v>
      </c>
      <c r="F10">
        <v>0.16739999999999999</v>
      </c>
      <c r="G10">
        <v>2.3599999999999999E-2</v>
      </c>
    </row>
    <row r="11" spans="1:9" x14ac:dyDescent="0.35">
      <c r="A11" s="1">
        <v>8</v>
      </c>
      <c r="B11">
        <v>0.1956</v>
      </c>
      <c r="C11">
        <v>6.6000000000000003E-2</v>
      </c>
      <c r="D11">
        <v>0.15690000000000001</v>
      </c>
      <c r="E11">
        <v>2.3599999999999999E-2</v>
      </c>
      <c r="F11">
        <v>0.16739999999999999</v>
      </c>
      <c r="G11">
        <v>2.3599999999999999E-2</v>
      </c>
    </row>
    <row r="12" spans="1:9" x14ac:dyDescent="0.35">
      <c r="A12" s="1">
        <v>9</v>
      </c>
      <c r="B12">
        <v>0.1956</v>
      </c>
      <c r="C12">
        <v>6.6000000000000003E-2</v>
      </c>
      <c r="D12">
        <v>0.17560000000000001</v>
      </c>
      <c r="E12">
        <v>2.2200000000000001E-2</v>
      </c>
      <c r="F12">
        <v>0.17549999999999999</v>
      </c>
      <c r="G12">
        <v>2.2200000000000001E-2</v>
      </c>
    </row>
    <row r="13" spans="1:9" x14ac:dyDescent="0.35">
      <c r="A13" s="1">
        <v>10</v>
      </c>
      <c r="B13">
        <v>0.1956</v>
      </c>
      <c r="C13">
        <v>6.6000000000000003E-2</v>
      </c>
      <c r="D13">
        <v>0.17560000000000001</v>
      </c>
      <c r="E13">
        <v>2.2200000000000001E-2</v>
      </c>
      <c r="F13">
        <v>0.17549999999999999</v>
      </c>
      <c r="G13">
        <v>2.2200000000000001E-2</v>
      </c>
    </row>
    <row r="14" spans="1:9" x14ac:dyDescent="0.35">
      <c r="A14" s="1">
        <v>11</v>
      </c>
      <c r="B14">
        <v>0.1956</v>
      </c>
      <c r="C14">
        <v>6.6000000000000003E-2</v>
      </c>
      <c r="D14">
        <v>0.17560000000000001</v>
      </c>
      <c r="E14">
        <v>2.2200000000000001E-2</v>
      </c>
      <c r="F14">
        <v>0.17549999999999999</v>
      </c>
      <c r="G14">
        <v>2.2200000000000001E-2</v>
      </c>
    </row>
    <row r="15" spans="1:9" x14ac:dyDescent="0.35">
      <c r="A15" s="1">
        <v>12</v>
      </c>
      <c r="B15">
        <v>0.1956</v>
      </c>
      <c r="C15">
        <v>6.6000000000000003E-2</v>
      </c>
      <c r="D15">
        <v>0.15690000000000001</v>
      </c>
      <c r="E15">
        <v>2.2200000000000001E-2</v>
      </c>
      <c r="F15">
        <v>0.16739999999999999</v>
      </c>
      <c r="G15">
        <v>2.2200000000000001E-2</v>
      </c>
    </row>
    <row r="16" spans="1:9" x14ac:dyDescent="0.35">
      <c r="A16" s="1">
        <v>13</v>
      </c>
      <c r="B16">
        <v>0.1956</v>
      </c>
      <c r="C16">
        <v>6.6000000000000003E-2</v>
      </c>
      <c r="D16">
        <v>0.15690000000000001</v>
      </c>
      <c r="E16">
        <v>2.2200000000000001E-2</v>
      </c>
      <c r="F16">
        <v>0.16739999999999999</v>
      </c>
      <c r="G16">
        <v>2.2200000000000001E-2</v>
      </c>
    </row>
    <row r="17" spans="1:7" x14ac:dyDescent="0.35">
      <c r="A17" s="1">
        <v>14</v>
      </c>
      <c r="B17">
        <v>0.1956</v>
      </c>
      <c r="C17">
        <v>6.6000000000000003E-2</v>
      </c>
      <c r="D17">
        <v>0.15690000000000001</v>
      </c>
      <c r="E17">
        <v>2.2599999999999999E-2</v>
      </c>
      <c r="F17">
        <v>0.16739999999999999</v>
      </c>
      <c r="G17">
        <v>2.2599999999999999E-2</v>
      </c>
    </row>
    <row r="18" spans="1:7" x14ac:dyDescent="0.35">
      <c r="A18" s="1">
        <v>15</v>
      </c>
      <c r="B18">
        <v>0.1956</v>
      </c>
      <c r="C18">
        <v>6.6000000000000003E-2</v>
      </c>
      <c r="D18">
        <v>0.15690000000000001</v>
      </c>
      <c r="E18">
        <v>2.2599999999999999E-2</v>
      </c>
      <c r="F18">
        <v>0.16739999999999999</v>
      </c>
      <c r="G18">
        <v>2.2599999999999999E-2</v>
      </c>
    </row>
    <row r="19" spans="1:7" x14ac:dyDescent="0.35">
      <c r="A19" s="1">
        <v>16</v>
      </c>
      <c r="B19">
        <v>0.1956</v>
      </c>
      <c r="C19">
        <v>6.6000000000000003E-2</v>
      </c>
      <c r="D19">
        <v>0.15690000000000001</v>
      </c>
      <c r="E19">
        <v>2.2599999999999999E-2</v>
      </c>
      <c r="F19">
        <v>0.16739999999999999</v>
      </c>
      <c r="G19">
        <v>2.2599999999999999E-2</v>
      </c>
    </row>
    <row r="20" spans="1:7" x14ac:dyDescent="0.35">
      <c r="A20" s="1">
        <v>17</v>
      </c>
      <c r="B20">
        <v>0.1956</v>
      </c>
      <c r="C20">
        <v>6.6000000000000003E-2</v>
      </c>
      <c r="D20">
        <v>0.15690000000000001</v>
      </c>
      <c r="E20">
        <v>2.2599999999999999E-2</v>
      </c>
      <c r="F20">
        <v>0.16739999999999999</v>
      </c>
      <c r="G20">
        <v>2.2599999999999999E-2</v>
      </c>
    </row>
    <row r="21" spans="1:7" x14ac:dyDescent="0.35">
      <c r="A21" s="1">
        <v>18</v>
      </c>
      <c r="B21">
        <v>0.1956</v>
      </c>
      <c r="C21">
        <v>6.6000000000000003E-2</v>
      </c>
      <c r="D21">
        <v>0.15690000000000001</v>
      </c>
      <c r="E21">
        <v>2.3400000000000001E-2</v>
      </c>
      <c r="F21">
        <v>0.16739999999999999</v>
      </c>
      <c r="G21">
        <v>2.3400000000000001E-2</v>
      </c>
    </row>
    <row r="22" spans="1:7" x14ac:dyDescent="0.35">
      <c r="A22" s="1">
        <v>19</v>
      </c>
      <c r="B22">
        <v>0.1956</v>
      </c>
      <c r="C22">
        <v>6.6000000000000003E-2</v>
      </c>
      <c r="D22">
        <v>0.17560000000000001</v>
      </c>
      <c r="E22">
        <v>2.3599999999999999E-2</v>
      </c>
      <c r="F22">
        <v>0.17549999999999999</v>
      </c>
      <c r="G22">
        <v>2.3599999999999999E-2</v>
      </c>
    </row>
    <row r="23" spans="1:7" x14ac:dyDescent="0.35">
      <c r="A23" s="1">
        <v>20</v>
      </c>
      <c r="B23">
        <v>0.1956</v>
      </c>
      <c r="C23">
        <v>6.6000000000000003E-2</v>
      </c>
      <c r="D23">
        <v>0.17560000000000001</v>
      </c>
      <c r="E23">
        <v>2.3599999999999999E-2</v>
      </c>
      <c r="F23">
        <v>0.17549999999999999</v>
      </c>
      <c r="G23">
        <v>2.3599999999999999E-2</v>
      </c>
    </row>
    <row r="24" spans="1:7" x14ac:dyDescent="0.35">
      <c r="A24" s="1">
        <v>21</v>
      </c>
      <c r="B24">
        <v>0.1956</v>
      </c>
      <c r="C24">
        <v>6.6000000000000003E-2</v>
      </c>
      <c r="D24">
        <v>0.15690000000000001</v>
      </c>
      <c r="E24">
        <v>2.3400000000000001E-2</v>
      </c>
      <c r="F24">
        <v>0.16739999999999999</v>
      </c>
      <c r="G24">
        <v>2.3400000000000001E-2</v>
      </c>
    </row>
    <row r="25" spans="1:7" x14ac:dyDescent="0.35">
      <c r="A25" s="1">
        <v>22</v>
      </c>
      <c r="B25">
        <v>0.1956</v>
      </c>
      <c r="C25">
        <v>6.6000000000000003E-2</v>
      </c>
      <c r="D25">
        <v>0.15690000000000001</v>
      </c>
      <c r="E25">
        <v>2.2599999999999999E-2</v>
      </c>
      <c r="F25">
        <v>0.16739999999999999</v>
      </c>
      <c r="G25">
        <v>2.2599999999999999E-2</v>
      </c>
    </row>
    <row r="26" spans="1:7" x14ac:dyDescent="0.35">
      <c r="A26" s="1">
        <v>23</v>
      </c>
      <c r="B26">
        <v>0.1956</v>
      </c>
      <c r="C26">
        <v>6.6000000000000003E-2</v>
      </c>
      <c r="D26">
        <v>0.15690000000000001</v>
      </c>
      <c r="E26">
        <v>2.2599999999999999E-2</v>
      </c>
      <c r="F26">
        <v>0.16739999999999999</v>
      </c>
      <c r="G26">
        <v>2.2599999999999999E-2</v>
      </c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780E-B59B-4339-A4C2-F8D1D39235B5}">
  <sheetPr codeName="Sheet5"/>
  <dimension ref="A1:Q27"/>
  <sheetViews>
    <sheetView zoomScale="60" zoomScaleNormal="60" workbookViewId="0">
      <selection sqref="A1:E1"/>
    </sheetView>
  </sheetViews>
  <sheetFormatPr defaultRowHeight="14.5" x14ac:dyDescent="0.35"/>
  <cols>
    <col min="1" max="1" width="14.90625" customWidth="1"/>
    <col min="2" max="2" width="19.08984375" customWidth="1"/>
    <col min="3" max="3" width="18" customWidth="1"/>
    <col min="4" max="4" width="20.90625" customWidth="1"/>
    <col min="5" max="6" width="16" customWidth="1"/>
    <col min="7" max="7" width="13.54296875" customWidth="1"/>
    <col min="8" max="8" width="21" customWidth="1"/>
    <col min="9" max="9" width="21.1796875" customWidth="1"/>
    <col min="10" max="10" width="19.90625" customWidth="1"/>
    <col min="11" max="11" width="15.26953125" customWidth="1"/>
    <col min="12" max="12" width="20.08984375" customWidth="1"/>
    <col min="13" max="13" width="11.36328125" customWidth="1"/>
    <col min="14" max="14" width="19.1796875" customWidth="1"/>
    <col min="15" max="15" width="20.54296875" customWidth="1"/>
    <col min="16" max="16" width="21" customWidth="1"/>
    <col min="17" max="17" width="16.36328125" customWidth="1"/>
    <col min="18" max="18" width="25.1796875" customWidth="1"/>
    <col min="19" max="19" width="17.453125" customWidth="1"/>
    <col min="20" max="20" width="20.1796875" customWidth="1"/>
  </cols>
  <sheetData>
    <row r="1" spans="1:17" ht="18.5" x14ac:dyDescent="0.45">
      <c r="A1" s="107" t="s">
        <v>154</v>
      </c>
      <c r="B1" s="107"/>
      <c r="C1" s="107"/>
      <c r="D1" s="107"/>
      <c r="E1" s="107"/>
      <c r="F1" s="4"/>
      <c r="G1" s="107" t="s">
        <v>173</v>
      </c>
      <c r="H1" s="107"/>
      <c r="I1" s="107"/>
      <c r="J1" s="107"/>
      <c r="K1" s="107"/>
      <c r="L1" s="5"/>
      <c r="M1" s="107" t="s">
        <v>200</v>
      </c>
      <c r="N1" s="107"/>
      <c r="O1" s="107"/>
      <c r="P1" s="107"/>
      <c r="Q1" s="107"/>
    </row>
    <row r="2" spans="1:17" x14ac:dyDescent="0.35">
      <c r="A2" s="1" t="s">
        <v>3</v>
      </c>
      <c r="B2" s="1" t="s">
        <v>79</v>
      </c>
      <c r="C2" s="1" t="s">
        <v>80</v>
      </c>
      <c r="D2" s="1" t="s">
        <v>0</v>
      </c>
      <c r="E2" s="1" t="s">
        <v>8</v>
      </c>
      <c r="F2" s="1"/>
      <c r="G2" s="1" t="s">
        <v>3</v>
      </c>
      <c r="H2" s="1" t="s">
        <v>79</v>
      </c>
      <c r="I2" s="1" t="s">
        <v>80</v>
      </c>
      <c r="J2" s="1" t="s">
        <v>0</v>
      </c>
      <c r="K2" s="1" t="s">
        <v>8</v>
      </c>
      <c r="L2" s="1"/>
      <c r="M2" s="1" t="s">
        <v>3</v>
      </c>
      <c r="N2" s="1" t="s">
        <v>79</v>
      </c>
      <c r="O2" s="1" t="s">
        <v>80</v>
      </c>
      <c r="P2" s="1" t="s">
        <v>0</v>
      </c>
      <c r="Q2" s="1" t="s">
        <v>8</v>
      </c>
    </row>
    <row r="3" spans="1:17" x14ac:dyDescent="0.35">
      <c r="A3" s="1">
        <v>0</v>
      </c>
      <c r="B3" s="24">
        <f>final_electricity__13[[#This Row],[ Buildind 1 (kWh)]]</f>
        <v>0.16300000000000001</v>
      </c>
      <c r="C3" s="24">
        <f>final_electricity__13[[#This Row],[Buildind 2 (kWh)]]</f>
        <v>126.105</v>
      </c>
      <c r="D3" s="24">
        <f>final_electricity__13[[#This Row],[Building 3 (kWh)]]</f>
        <v>122.83199999999999</v>
      </c>
      <c r="E3" s="24">
        <f>SUM(final_electricity__16[[#This Row],[ Building 1 (kWh)]]:final_electricity__16[[#This Row],[Building 3 (kWh)]])</f>
        <v>249.1</v>
      </c>
      <c r="G3" s="1">
        <v>0</v>
      </c>
      <c r="H3" s="24">
        <f>final_electricity__16192426[[#This Row],[ Building 1 (kWh)]]</f>
        <v>2.2950851974523809</v>
      </c>
      <c r="I3" s="24">
        <f>final_electricity__16192426[[#This Row],[Building 2 (kWh)]]</f>
        <v>126.105</v>
      </c>
      <c r="J3" s="24">
        <f>final_electricity__16192426[[#This Row],[Building 3 (kWh)]]</f>
        <v>122.83199999999999</v>
      </c>
      <c r="K3" s="24">
        <f t="shared" ref="K3:K27" si="0">SUM(H3:J3)</f>
        <v>251.23208519745239</v>
      </c>
      <c r="L3" s="24"/>
      <c r="M3" s="1">
        <v>0</v>
      </c>
      <c r="N3" s="24">
        <f>final_electricity__1619242630[[#This Row],[ Building 1 (kWh)]]</f>
        <v>2.2950851974523809</v>
      </c>
      <c r="O3" s="24">
        <f>final_electricity__1619242630[[#This Row],[Building 2 (kWh)]]</f>
        <v>126.105</v>
      </c>
      <c r="P3" s="24">
        <f>final_electricity__1619242630[[#This Row],[Building 3 (kWh)]]</f>
        <v>122.83199999999999</v>
      </c>
      <c r="Q3" s="24">
        <f t="shared" ref="Q3:Q27" si="1">SUM(N3:P3)</f>
        <v>251.23208519745239</v>
      </c>
    </row>
    <row r="4" spans="1:17" x14ac:dyDescent="0.35">
      <c r="A4" s="1">
        <v>1</v>
      </c>
      <c r="B4" s="24">
        <f>final_electricity__13[[#This Row],[ Buildind 1 (kWh)]]</f>
        <v>0.14899999999999999</v>
      </c>
      <c r="C4" s="24">
        <f>final_electricity__13[[#This Row],[Buildind 2 (kWh)]]</f>
        <v>124.566</v>
      </c>
      <c r="D4" s="24">
        <f>final_electricity__13[[#This Row],[Building 3 (kWh)]]</f>
        <v>121.10599999999999</v>
      </c>
      <c r="E4" s="24">
        <f>SUM(final_electricity__16[[#This Row],[ Building 1 (kWh)]]:final_electricity__16[[#This Row],[Building 3 (kWh)]])</f>
        <v>245.821</v>
      </c>
      <c r="F4" s="1"/>
      <c r="G4" s="1">
        <v>1</v>
      </c>
      <c r="H4" s="24">
        <f>final_electricity__16192426[[#This Row],[ Building 1 (kWh)]]</f>
        <v>0.22495814460000002</v>
      </c>
      <c r="I4" s="24">
        <f>final_electricity__16192426[[#This Row],[Building 2 (kWh)]]</f>
        <v>124.566</v>
      </c>
      <c r="J4" s="24">
        <f>final_electricity__16192426[[#This Row],[Building 3 (kWh)]]</f>
        <v>121.10599999999999</v>
      </c>
      <c r="K4" s="24">
        <f t="shared" si="0"/>
        <v>245.89695814459998</v>
      </c>
      <c r="L4" s="24"/>
      <c r="M4" s="1">
        <v>1</v>
      </c>
      <c r="N4" s="24">
        <f>final_electricity__1619242630[[#This Row],[ Building 1 (kWh)]]</f>
        <v>0.22495814460000002</v>
      </c>
      <c r="O4" s="24">
        <f>final_electricity__1619242630[[#This Row],[Building 2 (kWh)]]</f>
        <v>124.566</v>
      </c>
      <c r="P4" s="24">
        <f>final_electricity__1619242630[[#This Row],[Building 3 (kWh)]]</f>
        <v>121.10599999999999</v>
      </c>
      <c r="Q4" s="24">
        <f t="shared" si="1"/>
        <v>245.89695814459998</v>
      </c>
    </row>
    <row r="5" spans="1:17" x14ac:dyDescent="0.35">
      <c r="A5" s="1">
        <v>2</v>
      </c>
      <c r="B5" s="24">
        <f>final_electricity__13[[#This Row],[ Buildind 1 (kWh)]]</f>
        <v>0.121</v>
      </c>
      <c r="C5" s="24">
        <f>final_electricity__13[[#This Row],[Buildind 2 (kWh)]]</f>
        <v>122.24</v>
      </c>
      <c r="D5" s="24">
        <f>final_electricity__13[[#This Row],[Building 3 (kWh)]]</f>
        <v>111.349</v>
      </c>
      <c r="E5" s="24">
        <f>SUM(final_electricity__16[[#This Row],[ Building 1 (kWh)]]:final_electricity__16[[#This Row],[Building 3 (kWh)]])</f>
        <v>233.70999999999998</v>
      </c>
      <c r="F5" s="1"/>
      <c r="G5" s="1">
        <v>2</v>
      </c>
      <c r="H5" s="24">
        <f>final_electricity__16192426[[#This Row],[ Building 1 (kWh)]]</f>
        <v>14.936496131695485</v>
      </c>
      <c r="I5" s="24">
        <f>final_electricity__16192426[[#This Row],[Building 2 (kWh)]]</f>
        <v>122.24</v>
      </c>
      <c r="J5" s="24">
        <f>final_electricity__16192426[[#This Row],[Building 3 (kWh)]]</f>
        <v>111.349</v>
      </c>
      <c r="K5" s="24">
        <f t="shared" si="0"/>
        <v>248.52549613169549</v>
      </c>
      <c r="L5" s="24"/>
      <c r="M5" s="1">
        <v>2</v>
      </c>
      <c r="N5" s="24">
        <f>final_electricity__1619242630[[#This Row],[ Building 1 (kWh)]]</f>
        <v>14.936496131695485</v>
      </c>
      <c r="O5" s="24">
        <f>final_electricity__1619242630[[#This Row],[Building 2 (kWh)]]</f>
        <v>122.24</v>
      </c>
      <c r="P5" s="24">
        <f>final_electricity__1619242630[[#This Row],[Building 3 (kWh)]]</f>
        <v>111.349</v>
      </c>
      <c r="Q5" s="24">
        <f t="shared" si="1"/>
        <v>248.52549613169549</v>
      </c>
    </row>
    <row r="6" spans="1:17" x14ac:dyDescent="0.35">
      <c r="A6" s="1">
        <v>3</v>
      </c>
      <c r="B6" s="24">
        <f>final_electricity__13[[#This Row],[ Buildind 1 (kWh)]]</f>
        <v>0.112</v>
      </c>
      <c r="C6" s="24">
        <f>final_electricity__13[[#This Row],[Buildind 2 (kWh)]]</f>
        <v>119.33199999999999</v>
      </c>
      <c r="D6" s="24">
        <f>final_electricity__13[[#This Row],[Building 3 (kWh)]]</f>
        <v>108.373</v>
      </c>
      <c r="E6" s="24">
        <f>SUM(final_electricity__16[[#This Row],[ Building 1 (kWh)]]:final_electricity__16[[#This Row],[Building 3 (kWh)]])</f>
        <v>227.81700000000001</v>
      </c>
      <c r="F6" s="1"/>
      <c r="G6" s="1">
        <v>3</v>
      </c>
      <c r="H6" s="24">
        <f>final_electricity__16192426[[#This Row],[ Building 1 (kWh)]]</f>
        <v>0.21985899380000001</v>
      </c>
      <c r="I6" s="24">
        <f>final_electricity__16192426[[#This Row],[Building 2 (kWh)]]</f>
        <v>119.33199999999999</v>
      </c>
      <c r="J6" s="24">
        <f>final_electricity__16192426[[#This Row],[Building 3 (kWh)]]</f>
        <v>108.373</v>
      </c>
      <c r="K6" s="24">
        <f t="shared" si="0"/>
        <v>227.9248589938</v>
      </c>
      <c r="L6" s="24"/>
      <c r="M6" s="1">
        <v>3</v>
      </c>
      <c r="N6" s="24">
        <f>final_electricity__1619242630[[#This Row],[ Building 1 (kWh)]]</f>
        <v>0.21985899380000001</v>
      </c>
      <c r="O6" s="24">
        <f>final_electricity__1619242630[[#This Row],[Building 2 (kWh)]]</f>
        <v>119.33199999999999</v>
      </c>
      <c r="P6" s="24">
        <f>final_electricity__1619242630[[#This Row],[Building 3 (kWh)]]</f>
        <v>108.373</v>
      </c>
      <c r="Q6" s="24">
        <f t="shared" si="1"/>
        <v>227.9248589938</v>
      </c>
    </row>
    <row r="7" spans="1:17" x14ac:dyDescent="0.35">
      <c r="A7" s="1">
        <v>4</v>
      </c>
      <c r="B7" s="24">
        <f>final_electricity__13[[#This Row],[ Buildind 1 (kWh)]]</f>
        <v>0.11700000000000001</v>
      </c>
      <c r="C7" s="24">
        <f>final_electricity__13[[#This Row],[Buildind 2 (kWh)]]</f>
        <v>118.456</v>
      </c>
      <c r="D7" s="24">
        <f>final_electricity__13[[#This Row],[Building 3 (kWh)]]</f>
        <v>111.221</v>
      </c>
      <c r="E7" s="24">
        <f>SUM(final_electricity__16[[#This Row],[ Building 1 (kWh)]]:final_electricity__16[[#This Row],[Building 3 (kWh)]])</f>
        <v>229.79400000000001</v>
      </c>
      <c r="F7" s="1"/>
      <c r="G7" s="1">
        <v>4</v>
      </c>
      <c r="H7" s="24">
        <f>final_electricity__16192426[[#This Row],[ Building 1 (kWh)]]</f>
        <v>0.24080941840000006</v>
      </c>
      <c r="I7" s="24">
        <f>final_electricity__16192426[[#This Row],[Building 2 (kWh)]]</f>
        <v>118.456</v>
      </c>
      <c r="J7" s="24">
        <f>final_electricity__16192426[[#This Row],[Building 3 (kWh)]]</f>
        <v>111.221</v>
      </c>
      <c r="K7" s="24">
        <f t="shared" si="0"/>
        <v>229.9178094184</v>
      </c>
      <c r="L7" s="24"/>
      <c r="M7" s="1">
        <v>4</v>
      </c>
      <c r="N7" s="24">
        <f>final_electricity__1619242630[[#This Row],[ Building 1 (kWh)]]</f>
        <v>0.24080941840000006</v>
      </c>
      <c r="O7" s="24">
        <f>final_electricity__1619242630[[#This Row],[Building 2 (kWh)]]</f>
        <v>118.456</v>
      </c>
      <c r="P7" s="24">
        <f>final_electricity__1619242630[[#This Row],[Building 3 (kWh)]]</f>
        <v>111.221</v>
      </c>
      <c r="Q7" s="24">
        <f t="shared" si="1"/>
        <v>229.9178094184</v>
      </c>
    </row>
    <row r="8" spans="1:17" x14ac:dyDescent="0.35">
      <c r="A8" s="1">
        <v>5</v>
      </c>
      <c r="B8" s="24">
        <f>final_electricity__13[[#This Row],[ Buildind 1 (kWh)]]</f>
        <v>0.13</v>
      </c>
      <c r="C8" s="24">
        <f>final_electricity__13[[#This Row],[Buildind 2 (kWh)]]</f>
        <v>123.203</v>
      </c>
      <c r="D8" s="24">
        <f>final_electricity__13[[#This Row],[Building 3 (kWh)]]</f>
        <v>124.458</v>
      </c>
      <c r="E8" s="24">
        <f>SUM(final_electricity__16[[#This Row],[ Building 1 (kWh)]]:final_electricity__16[[#This Row],[Building 3 (kWh)]])</f>
        <v>247.791</v>
      </c>
      <c r="F8" s="1"/>
      <c r="G8" s="1">
        <v>5</v>
      </c>
      <c r="H8" s="24">
        <f>final_electricity__16192426[[#This Row],[ Building 1 (kWh)]]</f>
        <v>0.26540972719999995</v>
      </c>
      <c r="I8" s="24">
        <f>final_electricity__16192426[[#This Row],[Building 2 (kWh)]]</f>
        <v>123.203</v>
      </c>
      <c r="J8" s="24">
        <f>final_electricity__16192426[[#This Row],[Building 3 (kWh)]]</f>
        <v>124.458</v>
      </c>
      <c r="K8" s="24">
        <f t="shared" si="0"/>
        <v>247.9264097272</v>
      </c>
      <c r="L8" s="24"/>
      <c r="M8" s="1">
        <v>5</v>
      </c>
      <c r="N8" s="24">
        <f>final_electricity__1619242630[[#This Row],[ Building 1 (kWh)]]</f>
        <v>0.26540972719999995</v>
      </c>
      <c r="O8" s="24">
        <f>final_electricity__1619242630[[#This Row],[Building 2 (kWh)]]</f>
        <v>123.203</v>
      </c>
      <c r="P8" s="24">
        <f>final_electricity__1619242630[[#This Row],[Building 3 (kWh)]]</f>
        <v>124.458</v>
      </c>
      <c r="Q8" s="24">
        <f t="shared" si="1"/>
        <v>247.9264097272</v>
      </c>
    </row>
    <row r="9" spans="1:17" x14ac:dyDescent="0.35">
      <c r="A9" s="1">
        <v>6</v>
      </c>
      <c r="B9" s="24">
        <f>final_electricity__13[[#This Row],[ Buildind 1 (kWh)]]</f>
        <v>0.11700000000000001</v>
      </c>
      <c r="C9" s="24">
        <f>final_electricity__13[[#This Row],[Buildind 2 (kWh)]]</f>
        <v>128.864</v>
      </c>
      <c r="D9" s="24">
        <f>final_electricity__13[[#This Row],[Building 3 (kWh)]]</f>
        <v>135.33600000000001</v>
      </c>
      <c r="E9" s="24">
        <f>SUM(final_electricity__16[[#This Row],[ Building 1 (kWh)]]:final_electricity__16[[#This Row],[Building 3 (kWh)]])</f>
        <v>264.31700000000001</v>
      </c>
      <c r="F9" s="1"/>
      <c r="G9" s="1">
        <v>6</v>
      </c>
      <c r="H9" s="24">
        <f>final_electricity__16192426[[#This Row],[ Building 1 (kWh)]]</f>
        <v>0.26401003599999995</v>
      </c>
      <c r="I9" s="24">
        <f>final_electricity__16192426[[#This Row],[Building 2 (kWh)]]</f>
        <v>128.864</v>
      </c>
      <c r="J9" s="24">
        <f>final_electricity__16192426[[#This Row],[Building 3 (kWh)]]</f>
        <v>135.33600000000001</v>
      </c>
      <c r="K9" s="24">
        <f t="shared" si="0"/>
        <v>264.46401003599999</v>
      </c>
      <c r="L9" s="24"/>
      <c r="M9" s="1">
        <v>6</v>
      </c>
      <c r="N9" s="24">
        <f>final_electricity__1619242630[[#This Row],[ Building 1 (kWh)]]</f>
        <v>0.26401003599999995</v>
      </c>
      <c r="O9" s="24">
        <f>final_electricity__1619242630[[#This Row],[Building 2 (kWh)]]</f>
        <v>128.864</v>
      </c>
      <c r="P9" s="24">
        <f>final_electricity__1619242630[[#This Row],[Building 3 (kWh)]]</f>
        <v>135.33600000000001</v>
      </c>
      <c r="Q9" s="24">
        <f t="shared" si="1"/>
        <v>264.46401003599999</v>
      </c>
    </row>
    <row r="10" spans="1:17" x14ac:dyDescent="0.35">
      <c r="A10" s="1">
        <v>7</v>
      </c>
      <c r="B10" s="24">
        <f>final_electricity__13[[#This Row],[ Buildind 1 (kWh)]]</f>
        <v>0.377</v>
      </c>
      <c r="C10" s="24">
        <f>final_electricity__13[[#This Row],[Buildind 2 (kWh)]]</f>
        <v>156.93</v>
      </c>
      <c r="D10" s="24">
        <f>final_electricity__13[[#This Row],[Building 3 (kWh)]]</f>
        <v>205.28700000000001</v>
      </c>
      <c r="E10" s="24">
        <f>SUM(final_electricity__16[[#This Row],[ Building 1 (kWh)]]:final_electricity__16[[#This Row],[Building 3 (kWh)]])</f>
        <v>362.59400000000005</v>
      </c>
      <c r="F10" s="1"/>
      <c r="G10" s="1">
        <v>7</v>
      </c>
      <c r="H10" s="24">
        <f>final_electricity__16192426[[#This Row],[ Building 1 (kWh)]]</f>
        <v>0.53633536409999993</v>
      </c>
      <c r="I10" s="24">
        <f>final_electricity__16192426[[#This Row],[Building 2 (kWh)]]</f>
        <v>156.93</v>
      </c>
      <c r="J10" s="24">
        <f>final_electricity__16192426[[#This Row],[Building 3 (kWh)]]</f>
        <v>205.28700000000001</v>
      </c>
      <c r="K10" s="24">
        <f t="shared" si="0"/>
        <v>362.75333536410005</v>
      </c>
      <c r="L10" s="24"/>
      <c r="M10" s="1">
        <v>7</v>
      </c>
      <c r="N10" s="24">
        <f>final_electricity__1619242630[[#This Row],[ Building 1 (kWh)]]</f>
        <v>0.53633536409999993</v>
      </c>
      <c r="O10" s="24">
        <f>final_electricity__1619242630[[#This Row],[Building 2 (kWh)]]</f>
        <v>156.93</v>
      </c>
      <c r="P10" s="24">
        <f>final_electricity__1619242630[[#This Row],[Building 3 (kWh)]]</f>
        <v>205.28700000000001</v>
      </c>
      <c r="Q10" s="24">
        <f t="shared" si="1"/>
        <v>362.75333536410005</v>
      </c>
    </row>
    <row r="11" spans="1:17" x14ac:dyDescent="0.35">
      <c r="A11" s="1">
        <v>8</v>
      </c>
      <c r="B11" s="24">
        <f>final_electricity__13[[#This Row],[ Buildind 1 (kWh)]]</f>
        <v>0.90200000000000002</v>
      </c>
      <c r="C11" s="24">
        <f>final_electricity__13[[#This Row],[Buildind 2 (kWh)]]</f>
        <v>213.28899999999999</v>
      </c>
      <c r="D11" s="24">
        <f>final_electricity__13[[#This Row],[Building 3 (kWh)]]</f>
        <v>276.12</v>
      </c>
      <c r="E11" s="24">
        <f>SUM(final_electricity__16[[#This Row],[ Building 1 (kWh)]]:final_electricity__16[[#This Row],[Building 3 (kWh)]])</f>
        <v>490.31099999999998</v>
      </c>
      <c r="F11" s="1"/>
      <c r="G11" s="1">
        <v>8</v>
      </c>
      <c r="H11" s="24">
        <f>final_electricity__16192426[[#This Row],[ Building 1 (kWh)]]</f>
        <v>1.1153586078000002</v>
      </c>
      <c r="I11" s="24">
        <f>final_electricity__16192426[[#This Row],[Building 2 (kWh)]]</f>
        <v>213.28899999999999</v>
      </c>
      <c r="J11" s="24">
        <f>final_electricity__16192426[[#This Row],[Building 3 (kWh)]]</f>
        <v>276.12</v>
      </c>
      <c r="K11" s="24">
        <f t="shared" si="0"/>
        <v>490.52435860779997</v>
      </c>
      <c r="L11" s="24"/>
      <c r="M11" s="1">
        <v>8</v>
      </c>
      <c r="N11" s="24">
        <f>final_electricity__1619242630[[#This Row],[ Building 1 (kWh)]]</f>
        <v>1.1153586078000002</v>
      </c>
      <c r="O11" s="24">
        <f>final_electricity__1619242630[[#This Row],[Building 2 (kWh)]]</f>
        <v>213.28899999999999</v>
      </c>
      <c r="P11" s="24">
        <f>final_electricity__1619242630[[#This Row],[Building 3 (kWh)]]</f>
        <v>276.12</v>
      </c>
      <c r="Q11" s="24">
        <f t="shared" si="1"/>
        <v>490.52435860779997</v>
      </c>
    </row>
    <row r="12" spans="1:17" x14ac:dyDescent="0.35">
      <c r="A12" s="1">
        <v>9</v>
      </c>
      <c r="B12" s="24">
        <f>final_electricity__13[[#This Row],[ Buildind 1 (kWh)]]</f>
        <v>0.17599999999999999</v>
      </c>
      <c r="C12" s="24">
        <f>final_electricity__13[[#This Row],[Buildind 2 (kWh)]]</f>
        <v>264.62</v>
      </c>
      <c r="D12" s="24">
        <f>final_electricity__13[[#This Row],[Building 3 (kWh)]]</f>
        <v>327.05939999999998</v>
      </c>
      <c r="E12" s="24">
        <f>SUM(final_electricity__16[[#This Row],[ Building 1 (kWh)]]:final_electricity__16[[#This Row],[Building 3 (kWh)]])</f>
        <v>591.85539999999992</v>
      </c>
      <c r="F12" s="1"/>
      <c r="G12" s="1">
        <v>9</v>
      </c>
      <c r="H12" s="24">
        <f>final_electricity__16192426[[#This Row],[ Building 1 (kWh)]]</f>
        <v>0.17599999999999999</v>
      </c>
      <c r="I12" s="24">
        <f>final_electricity__16192426[[#This Row],[Building 2 (kWh)]]</f>
        <v>264.62</v>
      </c>
      <c r="J12" s="24">
        <f>final_electricity__16192426[[#This Row],[Building 3 (kWh)]]</f>
        <v>327.05939999999998</v>
      </c>
      <c r="K12" s="24">
        <f t="shared" si="0"/>
        <v>591.85539999999992</v>
      </c>
      <c r="L12" s="24"/>
      <c r="M12" s="1">
        <v>9</v>
      </c>
      <c r="N12" s="24">
        <f>final_electricity__1619242630[[#This Row],[ Building 1 (kWh)]]</f>
        <v>0.17599999999999999</v>
      </c>
      <c r="O12" s="24">
        <f>final_electricity__1619242630[[#This Row],[Building 2 (kWh)]]</f>
        <v>264.62</v>
      </c>
      <c r="P12" s="24">
        <f>final_electricity__1619242630[[#This Row],[Building 3 (kWh)]]</f>
        <v>327.05939999999998</v>
      </c>
      <c r="Q12" s="24">
        <f t="shared" si="1"/>
        <v>591.85539999999992</v>
      </c>
    </row>
    <row r="13" spans="1:17" x14ac:dyDescent="0.35">
      <c r="A13" s="1">
        <v>10</v>
      </c>
      <c r="B13" s="24">
        <f>final_electricity__13[[#This Row],[ Buildind 1 (kWh)]]</f>
        <v>0.318</v>
      </c>
      <c r="C13" s="24">
        <f>final_electricity__13[[#This Row],[Buildind 2 (kWh)]]</f>
        <v>278.54599999999999</v>
      </c>
      <c r="D13" s="24">
        <f>final_electricity__13[[#This Row],[Building 3 (kWh)]]</f>
        <v>357.839</v>
      </c>
      <c r="E13" s="24">
        <f>SUM(final_electricity__16[[#This Row],[ Building 1 (kWh)]]:final_electricity__16[[#This Row],[Building 3 (kWh)]])</f>
        <v>636.70299999999997</v>
      </c>
      <c r="F13" s="1"/>
      <c r="G13" s="1">
        <v>10</v>
      </c>
      <c r="H13" s="24">
        <f>final_electricity__16192426[[#This Row],[ Building 1 (kWh)]]</f>
        <v>0.318</v>
      </c>
      <c r="I13" s="24">
        <f>final_electricity__16192426[[#This Row],[Building 2 (kWh)]]</f>
        <v>278.54599999999999</v>
      </c>
      <c r="J13" s="24">
        <f>final_electricity__16192426[[#This Row],[Building 3 (kWh)]]</f>
        <v>357.839</v>
      </c>
      <c r="K13" s="24">
        <f t="shared" si="0"/>
        <v>636.70299999999997</v>
      </c>
      <c r="L13" s="24"/>
      <c r="M13" s="1">
        <v>10</v>
      </c>
      <c r="N13" s="24">
        <f>final_electricity__1619242630[[#This Row],[ Building 1 (kWh)]]</f>
        <v>0.318</v>
      </c>
      <c r="O13" s="24">
        <f>final_electricity__1619242630[[#This Row],[Building 2 (kWh)]]</f>
        <v>278.54599999999999</v>
      </c>
      <c r="P13" s="24">
        <f>final_electricity__1619242630[[#This Row],[Building 3 (kWh)]]</f>
        <v>357.839</v>
      </c>
      <c r="Q13" s="24">
        <f t="shared" si="1"/>
        <v>636.70299999999997</v>
      </c>
    </row>
    <row r="14" spans="1:17" x14ac:dyDescent="0.35">
      <c r="A14" s="1">
        <v>11</v>
      </c>
      <c r="B14" s="24">
        <f>final_electricity__13[[#This Row],[ Buildind 1 (kWh)]]</f>
        <v>0.122</v>
      </c>
      <c r="C14" s="24">
        <f>final_electricity__13[[#This Row],[Buildind 2 (kWh)]]</f>
        <v>290.54700000000003</v>
      </c>
      <c r="D14" s="24">
        <f>final_electricity__13[[#This Row],[Building 3 (kWh)]]</f>
        <v>393.238</v>
      </c>
      <c r="E14" s="24">
        <f>SUM(final_electricity__16[[#This Row],[ Building 1 (kWh)]]:final_electricity__16[[#This Row],[Building 3 (kWh)]])</f>
        <v>683.90700000000004</v>
      </c>
      <c r="F14" s="1"/>
      <c r="G14" s="1">
        <v>11</v>
      </c>
      <c r="H14" s="24">
        <f>final_electricity__16192426[[#This Row],[ Building 1 (kWh)]]</f>
        <v>0.122</v>
      </c>
      <c r="I14" s="24">
        <f>final_electricity__16192426[[#This Row],[Building 2 (kWh)]]</f>
        <v>290.54700000000003</v>
      </c>
      <c r="J14" s="24">
        <f>final_electricity__16192426[[#This Row],[Building 3 (kWh)]]</f>
        <v>393.238</v>
      </c>
      <c r="K14" s="24">
        <f t="shared" si="0"/>
        <v>683.90700000000004</v>
      </c>
      <c r="L14" s="24"/>
      <c r="M14" s="1">
        <v>11</v>
      </c>
      <c r="N14" s="24">
        <f>final_electricity__1619242630[[#This Row],[ Building 1 (kWh)]]</f>
        <v>0.122</v>
      </c>
      <c r="O14" s="24">
        <f>final_electricity__1619242630[[#This Row],[Building 2 (kWh)]]</f>
        <v>290.54700000000003</v>
      </c>
      <c r="P14" s="24">
        <f>final_electricity__1619242630[[#This Row],[Building 3 (kWh)]]</f>
        <v>393.238</v>
      </c>
      <c r="Q14" s="24">
        <f t="shared" si="1"/>
        <v>683.90700000000004</v>
      </c>
    </row>
    <row r="15" spans="1:17" x14ac:dyDescent="0.35">
      <c r="A15" s="1">
        <v>12</v>
      </c>
      <c r="B15" s="24">
        <f>final_electricity__13[[#This Row],[ Buildind 1 (kWh)]]</f>
        <v>0.10100000000000001</v>
      </c>
      <c r="C15" s="24">
        <f>final_electricity__13[[#This Row],[Buildind 2 (kWh)]]</f>
        <v>278.565</v>
      </c>
      <c r="D15" s="24">
        <f>final_electricity__13[[#This Row],[Building 3 (kWh)]]</f>
        <v>400.87400000000002</v>
      </c>
      <c r="E15" s="24">
        <f>SUM(final_electricity__16[[#This Row],[ Building 1 (kWh)]]:final_electricity__16[[#This Row],[Building 3 (kWh)]])</f>
        <v>679.54</v>
      </c>
      <c r="F15" s="1"/>
      <c r="G15" s="1">
        <v>12</v>
      </c>
      <c r="H15" s="24">
        <f>final_electricity__16192426[[#This Row],[ Building 1 (kWh)]]</f>
        <v>0.10100000000000001</v>
      </c>
      <c r="I15" s="24">
        <f>final_electricity__16192426[[#This Row],[Building 2 (kWh)]]</f>
        <v>278.565</v>
      </c>
      <c r="J15" s="24">
        <f>final_electricity__16192426[[#This Row],[Building 3 (kWh)]]</f>
        <v>400.87400000000002</v>
      </c>
      <c r="K15" s="24">
        <f t="shared" si="0"/>
        <v>679.54</v>
      </c>
      <c r="L15" s="24"/>
      <c r="M15" s="1">
        <v>12</v>
      </c>
      <c r="N15" s="24">
        <f>final_electricity__1619242630[[#This Row],[ Building 1 (kWh)]]</f>
        <v>0.10100000000000001</v>
      </c>
      <c r="O15" s="24">
        <f>final_electricity__1619242630[[#This Row],[Building 2 (kWh)]]</f>
        <v>278.565</v>
      </c>
      <c r="P15" s="24">
        <f>final_electricity__1619242630[[#This Row],[Building 3 (kWh)]]</f>
        <v>400.87400000000002</v>
      </c>
      <c r="Q15" s="24">
        <f t="shared" si="1"/>
        <v>679.54</v>
      </c>
    </row>
    <row r="16" spans="1:17" x14ac:dyDescent="0.35">
      <c r="A16" s="1">
        <v>13</v>
      </c>
      <c r="B16" s="24">
        <f>final_electricity__13[[#This Row],[ Buildind 1 (kWh)]]</f>
        <v>0.106</v>
      </c>
      <c r="C16" s="24">
        <f>final_electricity__13[[#This Row],[Buildind 2 (kWh)]]</f>
        <v>298.416</v>
      </c>
      <c r="D16" s="24">
        <f>final_electricity__13[[#This Row],[Building 3 (kWh)]]</f>
        <v>372.48899999999998</v>
      </c>
      <c r="E16" s="24">
        <f>SUM(final_electricity__16[[#This Row],[ Building 1 (kWh)]]:final_electricity__16[[#This Row],[Building 3 (kWh)]])</f>
        <v>671.01099999999997</v>
      </c>
      <c r="F16" s="1"/>
      <c r="G16" s="1">
        <v>13</v>
      </c>
      <c r="H16" s="24">
        <f>final_electricity__16192426[[#This Row],[ Building 1 (kWh)]]</f>
        <v>0.106</v>
      </c>
      <c r="I16" s="24">
        <f>final_electricity__16192426[[#This Row],[Building 2 (kWh)]]</f>
        <v>298.416</v>
      </c>
      <c r="J16" s="24">
        <f>final_electricity__16192426[[#This Row],[Building 3 (kWh)]]</f>
        <v>372.48899999999998</v>
      </c>
      <c r="K16" s="24">
        <f t="shared" si="0"/>
        <v>671.01099999999997</v>
      </c>
      <c r="L16" s="24"/>
      <c r="M16" s="1">
        <v>13</v>
      </c>
      <c r="N16" s="24">
        <f>final_electricity__1619242630[[#This Row],[ Building 1 (kWh)]]</f>
        <v>0.106</v>
      </c>
      <c r="O16" s="24">
        <f>final_electricity__1619242630[[#This Row],[Building 2 (kWh)]]</f>
        <v>298.416</v>
      </c>
      <c r="P16" s="24">
        <f>final_electricity__1619242630[[#This Row],[Building 3 (kWh)]]</f>
        <v>372.48899999999998</v>
      </c>
      <c r="Q16" s="24">
        <f t="shared" si="1"/>
        <v>671.01099999999997</v>
      </c>
    </row>
    <row r="17" spans="1:17" x14ac:dyDescent="0.35">
      <c r="A17" s="1">
        <v>14</v>
      </c>
      <c r="B17" s="24">
        <f>final_electricity__13[[#This Row],[ Buildind 1 (kWh)]]</f>
        <v>0.17499999999999999</v>
      </c>
      <c r="C17" s="24">
        <f>final_electricity__13[[#This Row],[Buildind 2 (kWh)]]</f>
        <v>322.815</v>
      </c>
      <c r="D17" s="24">
        <f>final_electricity__13[[#This Row],[Building 3 (kWh)]]</f>
        <v>357.63299999999998</v>
      </c>
      <c r="E17" s="24">
        <f>SUM(final_electricity__16[[#This Row],[ Building 1 (kWh)]]:final_electricity__16[[#This Row],[Building 3 (kWh)]])</f>
        <v>680.62300000000005</v>
      </c>
      <c r="F17" s="1"/>
      <c r="G17" s="1">
        <v>14</v>
      </c>
      <c r="H17" s="24">
        <f>final_electricity__16192426[[#This Row],[ Building 1 (kWh)]]</f>
        <v>0.17499999999999999</v>
      </c>
      <c r="I17" s="24">
        <f>final_electricity__16192426[[#This Row],[Building 2 (kWh)]]</f>
        <v>322.815</v>
      </c>
      <c r="J17" s="24">
        <f>final_electricity__16192426[[#This Row],[Building 3 (kWh)]]</f>
        <v>357.63299999999998</v>
      </c>
      <c r="K17" s="24">
        <f t="shared" si="0"/>
        <v>680.62300000000005</v>
      </c>
      <c r="L17" s="24"/>
      <c r="M17" s="1">
        <v>14</v>
      </c>
      <c r="N17" s="24">
        <f>final_electricity__1619242630[[#This Row],[ Building 1 (kWh)]]</f>
        <v>0.17499999999999999</v>
      </c>
      <c r="O17" s="24">
        <f>final_electricity__1619242630[[#This Row],[Building 2 (kWh)]]</f>
        <v>322.815</v>
      </c>
      <c r="P17" s="24">
        <f>final_electricity__1619242630[[#This Row],[Building 3 (kWh)]]</f>
        <v>357.63299999999998</v>
      </c>
      <c r="Q17" s="24">
        <f t="shared" si="1"/>
        <v>680.62300000000005</v>
      </c>
    </row>
    <row r="18" spans="1:17" x14ac:dyDescent="0.35">
      <c r="A18" s="1">
        <v>15</v>
      </c>
      <c r="B18" s="24">
        <f>final_electricity__13[[#This Row],[ Buildind 1 (kWh)]]</f>
        <v>0.23200000000000001</v>
      </c>
      <c r="C18" s="24">
        <f>final_electricity__13[[#This Row],[Buildind 2 (kWh)]]</f>
        <v>325.81900000000002</v>
      </c>
      <c r="D18" s="24">
        <f>final_electricity__13[[#This Row],[Building 3 (kWh)]]</f>
        <v>367.19799999999998</v>
      </c>
      <c r="E18" s="24">
        <f>SUM(final_electricity__16[[#This Row],[ Building 1 (kWh)]]:final_electricity__16[[#This Row],[Building 3 (kWh)]])</f>
        <v>693.24900000000002</v>
      </c>
      <c r="F18" s="1"/>
      <c r="G18" s="1">
        <v>15</v>
      </c>
      <c r="H18" s="24">
        <f>final_electricity__16192426[[#This Row],[ Building 1 (kWh)]]</f>
        <v>0.23200000000000001</v>
      </c>
      <c r="I18" s="24">
        <f>final_electricity__16192426[[#This Row],[Building 2 (kWh)]]</f>
        <v>325.81900000000002</v>
      </c>
      <c r="J18" s="24">
        <f>final_electricity__16192426[[#This Row],[Building 3 (kWh)]]</f>
        <v>367.19799999999998</v>
      </c>
      <c r="K18" s="24">
        <f t="shared" si="0"/>
        <v>693.24900000000002</v>
      </c>
      <c r="L18" s="24"/>
      <c r="M18" s="1">
        <v>15</v>
      </c>
      <c r="N18" s="24">
        <f>final_electricity__1619242630[[#This Row],[ Building 1 (kWh)]]</f>
        <v>0.23200000000000001</v>
      </c>
      <c r="O18" s="24">
        <f>final_electricity__1619242630[[#This Row],[Building 2 (kWh)]]</f>
        <v>325.81900000000002</v>
      </c>
      <c r="P18" s="24">
        <f>final_electricity__1619242630[[#This Row],[Building 3 (kWh)]]</f>
        <v>367.19799999999998</v>
      </c>
      <c r="Q18" s="24">
        <f t="shared" si="1"/>
        <v>693.24900000000002</v>
      </c>
    </row>
    <row r="19" spans="1:17" x14ac:dyDescent="0.35">
      <c r="A19" s="1">
        <v>16</v>
      </c>
      <c r="B19" s="24">
        <f>final_electricity__13[[#This Row],[ Buildind 1 (kWh)]]</f>
        <v>0.161</v>
      </c>
      <c r="C19" s="24">
        <f>final_electricity__13[[#This Row],[Buildind 2 (kWh)]]</f>
        <v>305.94099999999997</v>
      </c>
      <c r="D19" s="24">
        <f>final_electricity__13[[#This Row],[Building 3 (kWh)]]</f>
        <v>356.8</v>
      </c>
      <c r="E19" s="24">
        <f>SUM(final_electricity__16[[#This Row],[ Building 1 (kWh)]]:final_electricity__16[[#This Row],[Building 3 (kWh)]])</f>
        <v>662.90200000000004</v>
      </c>
      <c r="F19" s="1"/>
      <c r="G19" s="1">
        <v>16</v>
      </c>
      <c r="H19" s="24">
        <f>final_electricity__16192426[[#This Row],[ Building 1 (kWh)]]</f>
        <v>0.161</v>
      </c>
      <c r="I19" s="24">
        <f>final_electricity__16192426[[#This Row],[Building 2 (kWh)]]</f>
        <v>305.94099999999997</v>
      </c>
      <c r="J19" s="24">
        <f>final_electricity__16192426[[#This Row],[Building 3 (kWh)]]</f>
        <v>356.8</v>
      </c>
      <c r="K19" s="24">
        <f t="shared" si="0"/>
        <v>662.90200000000004</v>
      </c>
      <c r="L19" s="24"/>
      <c r="M19" s="1">
        <v>16</v>
      </c>
      <c r="N19" s="24">
        <f>final_electricity__1619242630[[#This Row],[ Building 1 (kWh)]]</f>
        <v>0.161</v>
      </c>
      <c r="O19" s="24">
        <f>final_electricity__1619242630[[#This Row],[Building 2 (kWh)]]</f>
        <v>305.94099999999997</v>
      </c>
      <c r="P19" s="24">
        <f>final_electricity__1619242630[[#This Row],[Building 3 (kWh)]]</f>
        <v>356.8</v>
      </c>
      <c r="Q19" s="24">
        <f t="shared" si="1"/>
        <v>662.90200000000004</v>
      </c>
    </row>
    <row r="20" spans="1:17" x14ac:dyDescent="0.35">
      <c r="A20" s="1">
        <v>17</v>
      </c>
      <c r="B20" s="24">
        <f>final_electricity__13[[#This Row],[ Buildind 1 (kWh)]]</f>
        <v>0.28699999999999998</v>
      </c>
      <c r="C20" s="24">
        <f>final_electricity__13[[#This Row],[Buildind 2 (kWh)]]</f>
        <v>272.05799999999999</v>
      </c>
      <c r="D20" s="24">
        <f>final_electricity__13[[#This Row],[Building 3 (kWh)]]</f>
        <v>330.608</v>
      </c>
      <c r="E20" s="24">
        <f>SUM(final_electricity__16[[#This Row],[ Building 1 (kWh)]]:final_electricity__16[[#This Row],[Building 3 (kWh)]])</f>
        <v>602.95299999999997</v>
      </c>
      <c r="F20" s="1"/>
      <c r="G20" s="1">
        <v>17</v>
      </c>
      <c r="H20" s="24">
        <f>final_electricity__16192426[[#This Row],[ Building 1 (kWh)]]</f>
        <v>0.28699999999999998</v>
      </c>
      <c r="I20" s="24">
        <f>final_electricity__16192426[[#This Row],[Building 2 (kWh)]]</f>
        <v>272.05799999999999</v>
      </c>
      <c r="J20" s="24">
        <f>final_electricity__16192426[[#This Row],[Building 3 (kWh)]]</f>
        <v>330.608</v>
      </c>
      <c r="K20" s="24">
        <f t="shared" si="0"/>
        <v>602.95299999999997</v>
      </c>
      <c r="L20" s="24"/>
      <c r="M20" s="1">
        <v>17</v>
      </c>
      <c r="N20" s="24">
        <f>final_electricity__1619242630[[#This Row],[ Building 1 (kWh)]]</f>
        <v>0.28699999999999998</v>
      </c>
      <c r="O20" s="24">
        <f>final_electricity__1619242630[[#This Row],[Building 2 (kWh)]]</f>
        <v>272.05799999999999</v>
      </c>
      <c r="P20" s="24">
        <f>final_electricity__1619242630[[#This Row],[Building 3 (kWh)]]</f>
        <v>330.608</v>
      </c>
      <c r="Q20" s="24">
        <f t="shared" si="1"/>
        <v>602.95299999999997</v>
      </c>
    </row>
    <row r="21" spans="1:17" x14ac:dyDescent="0.35">
      <c r="A21" s="1">
        <v>18</v>
      </c>
      <c r="B21" s="24">
        <f>final_electricity__13[[#This Row],[ Buildind 1 (kWh)]]</f>
        <v>0.30199999999999999</v>
      </c>
      <c r="C21" s="24">
        <f>final_electricity__13[[#This Row],[Buildind 2 (kWh)]]</f>
        <v>225.411</v>
      </c>
      <c r="D21" s="24">
        <f>final_electricity__13[[#This Row],[Building 3 (kWh)]]</f>
        <v>282.596</v>
      </c>
      <c r="E21" s="24">
        <f>SUM(final_electricity__16[[#This Row],[ Building 1 (kWh)]]:final_electricity__16[[#This Row],[Building 3 (kWh)]])</f>
        <v>508.30899999999997</v>
      </c>
      <c r="F21" s="1"/>
      <c r="G21" s="1">
        <v>18</v>
      </c>
      <c r="H21" s="24">
        <f>final_electricity__16192426[[#This Row],[ Building 1 (kWh)]]</f>
        <v>0.30199999999999999</v>
      </c>
      <c r="I21" s="24">
        <f>final_electricity__16192426[[#This Row],[Building 2 (kWh)]]</f>
        <v>225.411</v>
      </c>
      <c r="J21" s="24">
        <f>final_electricity__16192426[[#This Row],[Building 3 (kWh)]]</f>
        <v>282.596</v>
      </c>
      <c r="K21" s="24">
        <f t="shared" si="0"/>
        <v>508.30899999999997</v>
      </c>
      <c r="L21" s="24"/>
      <c r="M21" s="1">
        <v>18</v>
      </c>
      <c r="N21" s="24">
        <f>final_electricity__1619242630[[#This Row],[ Building 1 (kWh)]]</f>
        <v>0.30199999999999999</v>
      </c>
      <c r="O21" s="24">
        <f>final_electricity__1619242630[[#This Row],[Building 2 (kWh)]]</f>
        <v>225.411</v>
      </c>
      <c r="P21" s="24">
        <f>final_electricity__1619242630[[#This Row],[Building 3 (kWh)]]</f>
        <v>282.596</v>
      </c>
      <c r="Q21" s="24">
        <f t="shared" si="1"/>
        <v>508.30899999999997</v>
      </c>
    </row>
    <row r="22" spans="1:17" x14ac:dyDescent="0.35">
      <c r="A22" s="1">
        <v>19</v>
      </c>
      <c r="B22" s="24">
        <f>final_electricity__13[[#This Row],[ Buildind 1 (kWh)]]</f>
        <v>0.154</v>
      </c>
      <c r="C22" s="24">
        <f>final_electricity__13[[#This Row],[Buildind 2 (kWh)]]</f>
        <v>200.375</v>
      </c>
      <c r="D22" s="24">
        <f>final_electricity__13[[#This Row],[Building 3 (kWh)]]</f>
        <v>220.05699999999999</v>
      </c>
      <c r="E22" s="24">
        <f>SUM(final_electricity__16[[#This Row],[ Building 1 (kWh)]]:final_electricity__16[[#This Row],[Building 3 (kWh)]])</f>
        <v>420.58600000000001</v>
      </c>
      <c r="F22" s="1"/>
      <c r="G22" s="1">
        <v>19</v>
      </c>
      <c r="H22" s="24">
        <f>final_electricity__16192426[[#This Row],[ Building 1 (kWh)]]</f>
        <v>0.154</v>
      </c>
      <c r="I22" s="24">
        <f>final_electricity__16192426[[#This Row],[Building 2 (kWh)]]</f>
        <v>200.375</v>
      </c>
      <c r="J22" s="24">
        <f>final_electricity__16192426[[#This Row],[Building 3 (kWh)]]</f>
        <v>220.05699999999999</v>
      </c>
      <c r="K22" s="24">
        <f t="shared" si="0"/>
        <v>420.58600000000001</v>
      </c>
      <c r="L22" s="24"/>
      <c r="M22" s="1">
        <v>19</v>
      </c>
      <c r="N22" s="24">
        <f>final_electricity__1619242630[[#This Row],[ Building 1 (kWh)]]</f>
        <v>0.154</v>
      </c>
      <c r="O22" s="24">
        <f>final_electricity__1619242630[[#This Row],[Building 2 (kWh)]]</f>
        <v>200.375</v>
      </c>
      <c r="P22" s="24">
        <f>final_electricity__1619242630[[#This Row],[Building 3 (kWh)]]</f>
        <v>220.05699999999999</v>
      </c>
      <c r="Q22" s="24">
        <f t="shared" si="1"/>
        <v>420.58600000000001</v>
      </c>
    </row>
    <row r="23" spans="1:17" x14ac:dyDescent="0.35">
      <c r="A23" s="1">
        <v>20</v>
      </c>
      <c r="B23" s="24">
        <f>final_electricity__13[[#This Row],[ Buildind 1 (kWh)]]</f>
        <v>0.65300000000000002</v>
      </c>
      <c r="C23" s="24">
        <f>final_electricity__13[[#This Row],[Buildind 2 (kWh)]]</f>
        <v>163.98</v>
      </c>
      <c r="D23" s="24">
        <f>final_electricity__13[[#This Row],[Building 3 (kWh)]]</f>
        <v>178.715</v>
      </c>
      <c r="E23" s="24">
        <f>SUM(final_electricity__16[[#This Row],[ Building 1 (kWh)]]:final_electricity__16[[#This Row],[Building 3 (kWh)]])</f>
        <v>343.34799999999996</v>
      </c>
      <c r="F23" s="1"/>
      <c r="G23" s="1">
        <v>20</v>
      </c>
      <c r="H23" s="24">
        <f>final_electricity__16192426[[#This Row],[ Building 1 (kWh)]]</f>
        <v>0.65300000000000002</v>
      </c>
      <c r="I23" s="24">
        <f>final_electricity__16192426[[#This Row],[Building 2 (kWh)]]</f>
        <v>163.98</v>
      </c>
      <c r="J23" s="24">
        <f>final_electricity__16192426[[#This Row],[Building 3 (kWh)]]</f>
        <v>178.715</v>
      </c>
      <c r="K23" s="24">
        <f t="shared" si="0"/>
        <v>343.34799999999996</v>
      </c>
      <c r="L23" s="24"/>
      <c r="M23" s="1">
        <v>20</v>
      </c>
      <c r="N23" s="24">
        <f>final_electricity__1619242630[[#This Row],[ Building 1 (kWh)]]</f>
        <v>0.65300000000000002</v>
      </c>
      <c r="O23" s="24">
        <f>final_electricity__1619242630[[#This Row],[Building 2 (kWh)]]</f>
        <v>163.98</v>
      </c>
      <c r="P23" s="24">
        <f>final_electricity__1619242630[[#This Row],[Building 3 (kWh)]]</f>
        <v>178.715</v>
      </c>
      <c r="Q23" s="24">
        <f t="shared" si="1"/>
        <v>343.34799999999996</v>
      </c>
    </row>
    <row r="24" spans="1:17" x14ac:dyDescent="0.35">
      <c r="A24" s="1">
        <v>21</v>
      </c>
      <c r="B24" s="24">
        <f>final_electricity__13[[#This Row],[ Buildind 1 (kWh)]]</f>
        <v>1.663</v>
      </c>
      <c r="C24" s="24">
        <f>final_electricity__13[[#This Row],[Buildind 2 (kWh)]]</f>
        <v>148.77500000000001</v>
      </c>
      <c r="D24" s="24">
        <f>final_electricity__13[[#This Row],[Building 3 (kWh)]]</f>
        <v>153.333</v>
      </c>
      <c r="E24" s="24">
        <f>SUM(final_electricity__16[[#This Row],[ Building 1 (kWh)]]:final_electricity__16[[#This Row],[Building 3 (kWh)]])</f>
        <v>303.77100000000002</v>
      </c>
      <c r="F24" s="1"/>
      <c r="G24" s="1">
        <v>21</v>
      </c>
      <c r="H24" s="24">
        <f>final_electricity__16192426[[#This Row],[ Building 1 (kWh)]]</f>
        <v>1.663</v>
      </c>
      <c r="I24" s="24">
        <f>final_electricity__16192426[[#This Row],[Building 2 (kWh)]]</f>
        <v>148.77500000000001</v>
      </c>
      <c r="J24" s="24">
        <f>final_electricity__16192426[[#This Row],[Building 3 (kWh)]]</f>
        <v>153.333</v>
      </c>
      <c r="K24" s="24">
        <f t="shared" si="0"/>
        <v>303.77100000000002</v>
      </c>
      <c r="L24" s="24"/>
      <c r="M24" s="1">
        <v>21</v>
      </c>
      <c r="N24" s="24">
        <f>final_electricity__1619242630[[#This Row],[ Building 1 (kWh)]]</f>
        <v>1.663</v>
      </c>
      <c r="O24" s="24">
        <f>final_electricity__1619242630[[#This Row],[Building 2 (kWh)]]</f>
        <v>148.77500000000001</v>
      </c>
      <c r="P24" s="24">
        <f>final_electricity__1619242630[[#This Row],[Building 3 (kWh)]]</f>
        <v>153.333</v>
      </c>
      <c r="Q24" s="24">
        <f t="shared" si="1"/>
        <v>303.77100000000002</v>
      </c>
    </row>
    <row r="25" spans="1:17" x14ac:dyDescent="0.35">
      <c r="A25" s="1">
        <v>22</v>
      </c>
      <c r="B25" s="24">
        <f>final_electricity__13[[#This Row],[ Buildind 1 (kWh)]]</f>
        <v>0.755</v>
      </c>
      <c r="C25" s="24">
        <f>final_electricity__13[[#This Row],[Buildind 2 (kWh)]]</f>
        <v>128.393</v>
      </c>
      <c r="D25" s="24">
        <f>final_electricity__13[[#This Row],[Building 3 (kWh)]]</f>
        <v>138.67599999999999</v>
      </c>
      <c r="E25" s="24">
        <f>SUM(final_electricity__16[[#This Row],[ Building 1 (kWh)]]:final_electricity__16[[#This Row],[Building 3 (kWh)]])</f>
        <v>267.82399999999996</v>
      </c>
      <c r="F25" s="1"/>
      <c r="G25" s="1">
        <v>22</v>
      </c>
      <c r="H25" s="24">
        <f>final_electricity__16192426[[#This Row],[ Building 1 (kWh)]]</f>
        <v>0.755</v>
      </c>
      <c r="I25" s="24">
        <f>final_electricity__16192426[[#This Row],[Building 2 (kWh)]]</f>
        <v>128.393</v>
      </c>
      <c r="J25" s="24">
        <f>final_electricity__16192426[[#This Row],[Building 3 (kWh)]]</f>
        <v>138.67599999999999</v>
      </c>
      <c r="K25" s="24">
        <f t="shared" si="0"/>
        <v>267.82399999999996</v>
      </c>
      <c r="L25" s="24"/>
      <c r="M25" s="1">
        <v>22</v>
      </c>
      <c r="N25" s="24">
        <f>final_electricity__1619242630[[#This Row],[ Building 1 (kWh)]]</f>
        <v>0.755</v>
      </c>
      <c r="O25" s="24">
        <f>final_electricity__1619242630[[#This Row],[Building 2 (kWh)]]</f>
        <v>128.393</v>
      </c>
      <c r="P25" s="24">
        <f>final_electricity__1619242630[[#This Row],[Building 3 (kWh)]]</f>
        <v>138.67599999999999</v>
      </c>
      <c r="Q25" s="24">
        <f t="shared" si="1"/>
        <v>267.82399999999996</v>
      </c>
    </row>
    <row r="26" spans="1:17" x14ac:dyDescent="0.35">
      <c r="A26" s="1">
        <v>23</v>
      </c>
      <c r="B26" s="24">
        <f>final_electricity__13[[#This Row],[ Buildind 1 (kWh)]]</f>
        <v>0.44400000000000001</v>
      </c>
      <c r="C26" s="24">
        <f>final_electricity__13[[#This Row],[Buildind 2 (kWh)]]</f>
        <v>121.883</v>
      </c>
      <c r="D26" s="24">
        <f>final_electricity__13[[#This Row],[Building 3 (kWh)]]</f>
        <v>135.27199999999999</v>
      </c>
      <c r="E26" s="24">
        <f>SUM(final_electricity__16[[#This Row],[ Building 1 (kWh)]]:final_electricity__16[[#This Row],[Building 3 (kWh)]])</f>
        <v>257.59899999999999</v>
      </c>
      <c r="F26" s="1"/>
      <c r="G26" s="1">
        <v>23</v>
      </c>
      <c r="H26" s="24">
        <f>final_electricity__16192426[[#This Row],[ Building 1 (kWh)]]</f>
        <v>0.44400000000000001</v>
      </c>
      <c r="I26" s="24">
        <f>final_electricity__16192426[[#This Row],[Building 2 (kWh)]]</f>
        <v>121.883</v>
      </c>
      <c r="J26" s="24">
        <f>final_electricity__16192426[[#This Row],[Building 3 (kWh)]]</f>
        <v>135.27199999999999</v>
      </c>
      <c r="K26" s="24">
        <f t="shared" si="0"/>
        <v>257.59899999999999</v>
      </c>
      <c r="L26" s="24"/>
      <c r="M26" s="1">
        <v>23</v>
      </c>
      <c r="N26" s="24">
        <f>final_electricity__1619242630[[#This Row],[ Building 1 (kWh)]]</f>
        <v>0.44400000000000001</v>
      </c>
      <c r="O26" s="24">
        <f>final_electricity__1619242630[[#This Row],[Building 2 (kWh)]]</f>
        <v>121.883</v>
      </c>
      <c r="P26" s="24">
        <f>final_electricity__1619242630[[#This Row],[Building 3 (kWh)]]</f>
        <v>135.27199999999999</v>
      </c>
      <c r="Q26" s="24">
        <f t="shared" si="1"/>
        <v>257.59899999999999</v>
      </c>
    </row>
    <row r="27" spans="1:17" x14ac:dyDescent="0.35">
      <c r="A27" s="26" t="s">
        <v>165</v>
      </c>
      <c r="B27" s="24">
        <f>SUM(B3:B26)</f>
        <v>7.8369999999999997</v>
      </c>
      <c r="C27" s="24">
        <f t="shared" ref="C27:D27" si="2">SUM(C3:C26)</f>
        <v>4859.128999999999</v>
      </c>
      <c r="D27" s="24">
        <f t="shared" si="2"/>
        <v>5688.4694</v>
      </c>
      <c r="E27" s="24">
        <f>SUM(final_electricity__16[[#This Row],[ Building 1 (kWh)]]:final_electricity__16[[#This Row],[Building 3 (kWh)]])</f>
        <v>10555.435399999998</v>
      </c>
      <c r="G27" s="26" t="s">
        <v>165</v>
      </c>
      <c r="H27" s="24">
        <f>SUM(H3:H26)</f>
        <v>25.747321621047867</v>
      </c>
      <c r="I27" s="24">
        <f>SUM(I3:I26)</f>
        <v>4859.128999999999</v>
      </c>
      <c r="J27" s="24">
        <f t="shared" ref="J27" si="3">SUM(J3:J26)</f>
        <v>5688.4694</v>
      </c>
      <c r="K27" s="24">
        <f t="shared" si="0"/>
        <v>10573.345721621048</v>
      </c>
      <c r="M27" s="26" t="s">
        <v>165</v>
      </c>
      <c r="N27" s="24">
        <f>SUM(N3:N26)</f>
        <v>25.747321621047867</v>
      </c>
      <c r="O27" s="24">
        <f>SUM(O3:O26)</f>
        <v>4859.128999999999</v>
      </c>
      <c r="P27" s="24">
        <f t="shared" ref="P27" si="4">SUM(P3:P26)</f>
        <v>5688.4694</v>
      </c>
      <c r="Q27" s="24">
        <f t="shared" si="1"/>
        <v>10573.345721621048</v>
      </c>
    </row>
  </sheetData>
  <mergeCells count="3">
    <mergeCell ref="A1:E1"/>
    <mergeCell ref="G1:K1"/>
    <mergeCell ref="M1:Q1"/>
  </mergeCells>
  <phoneticPr fontId="2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87E3A-555D-4D56-A3B1-EF5E37D13563}">
  <sheetPr codeName="Sheet10"/>
  <dimension ref="A1:N26"/>
  <sheetViews>
    <sheetView zoomScale="70" zoomScaleNormal="70" workbookViewId="0">
      <selection activeCell="N18" sqref="N18"/>
    </sheetView>
  </sheetViews>
  <sheetFormatPr defaultRowHeight="14.5" x14ac:dyDescent="0.35"/>
  <cols>
    <col min="1" max="3" width="11.6328125" customWidth="1"/>
    <col min="4" max="4" width="13.1796875" customWidth="1"/>
    <col min="5" max="5" width="12.453125" customWidth="1"/>
    <col min="6" max="6" width="16.36328125" customWidth="1"/>
    <col min="8" max="8" width="27.453125" customWidth="1"/>
    <col min="9" max="9" width="14" customWidth="1"/>
    <col min="11" max="11" width="10.7265625" customWidth="1"/>
    <col min="12" max="12" width="16.26953125" customWidth="1"/>
  </cols>
  <sheetData>
    <row r="1" spans="1:14" ht="14.5" customHeight="1" x14ac:dyDescent="0.35">
      <c r="A1" s="94" t="s">
        <v>9</v>
      </c>
      <c r="B1" s="94" t="s">
        <v>22</v>
      </c>
      <c r="C1" s="94" t="s">
        <v>21</v>
      </c>
      <c r="D1" s="94" t="s">
        <v>81</v>
      </c>
      <c r="E1" s="94" t="s">
        <v>10</v>
      </c>
      <c r="H1" s="127" t="s">
        <v>155</v>
      </c>
      <c r="I1" s="127"/>
      <c r="K1" s="128" t="s">
        <v>162</v>
      </c>
      <c r="L1" s="128"/>
      <c r="M1" s="2"/>
      <c r="N1" s="2"/>
    </row>
    <row r="2" spans="1:14" x14ac:dyDescent="0.35">
      <c r="A2" s="50" t="s">
        <v>11</v>
      </c>
      <c r="B2" s="17"/>
      <c r="C2" s="17"/>
      <c r="D2" s="95">
        <v>0.5</v>
      </c>
      <c r="E2" s="17">
        <v>0.2</v>
      </c>
      <c r="H2" s="82" t="s">
        <v>91</v>
      </c>
      <c r="I2" s="96">
        <v>500</v>
      </c>
      <c r="K2" s="50" t="s">
        <v>3</v>
      </c>
      <c r="L2" s="50" t="s">
        <v>156</v>
      </c>
    </row>
    <row r="3" spans="1:14" x14ac:dyDescent="0.35">
      <c r="A3" s="50" t="s">
        <v>18</v>
      </c>
      <c r="B3" s="17">
        <v>1</v>
      </c>
      <c r="C3" s="17"/>
      <c r="D3" s="95">
        <v>0.2</v>
      </c>
      <c r="E3" s="17"/>
      <c r="H3" s="82" t="s">
        <v>158</v>
      </c>
      <c r="I3" s="96">
        <v>2.5</v>
      </c>
      <c r="K3" s="50">
        <v>0</v>
      </c>
      <c r="L3" s="85">
        <f>climate_data__5[[#This Row],[Irradiance 0º (W/m2)]]*'Conversion Technologies'!$I$3*'Conversion Technologies'!$I$4</f>
        <v>0</v>
      </c>
    </row>
    <row r="4" spans="1:14" x14ac:dyDescent="0.35">
      <c r="A4" s="50" t="s">
        <v>19</v>
      </c>
      <c r="B4" s="17">
        <v>10</v>
      </c>
      <c r="C4" s="17"/>
      <c r="D4" s="95">
        <v>0.2</v>
      </c>
      <c r="E4" s="17"/>
      <c r="H4" s="82" t="s">
        <v>81</v>
      </c>
      <c r="I4" s="97">
        <v>0.2</v>
      </c>
      <c r="K4" s="50">
        <v>1</v>
      </c>
      <c r="L4" s="85">
        <f>climate_data__5[[#This Row],[Irradiance 0º (W/m2)]]*'Conversion Technologies'!$I$3*'Conversion Technologies'!$I$4</f>
        <v>0</v>
      </c>
    </row>
    <row r="5" spans="1:14" x14ac:dyDescent="0.35">
      <c r="A5" s="50" t="s">
        <v>20</v>
      </c>
      <c r="B5" s="17">
        <v>20</v>
      </c>
      <c r="C5" s="17"/>
      <c r="D5" s="95">
        <v>0.2</v>
      </c>
      <c r="E5" s="17"/>
      <c r="H5" s="82" t="s">
        <v>159</v>
      </c>
      <c r="I5" s="96">
        <v>450</v>
      </c>
      <c r="K5" s="50">
        <v>2</v>
      </c>
      <c r="L5" s="85">
        <f>climate_data__5[[#This Row],[Irradiance 0º (W/m2)]]*'Conversion Technologies'!$I$3*'Conversion Technologies'!$I$4</f>
        <v>0</v>
      </c>
    </row>
    <row r="6" spans="1:14" x14ac:dyDescent="0.35">
      <c r="H6" s="82" t="s">
        <v>160</v>
      </c>
      <c r="I6" s="96">
        <v>680</v>
      </c>
      <c r="K6" s="50">
        <v>3</v>
      </c>
      <c r="L6" s="85">
        <f>climate_data__5[[#This Row],[Irradiance 0º (W/m2)]]*'Conversion Technologies'!$I$3*'Conversion Technologies'!$I$4</f>
        <v>0</v>
      </c>
    </row>
    <row r="7" spans="1:14" x14ac:dyDescent="0.35">
      <c r="H7" s="82" t="s">
        <v>161</v>
      </c>
      <c r="I7" s="96">
        <v>20</v>
      </c>
      <c r="K7" s="50">
        <v>4</v>
      </c>
      <c r="L7" s="85">
        <f>climate_data__5[[#This Row],[Irradiance 0º (W/m2)]]*'Conversion Technologies'!$I$3*'Conversion Technologies'!$I$4</f>
        <v>0</v>
      </c>
    </row>
    <row r="8" spans="1:14" x14ac:dyDescent="0.35">
      <c r="H8" s="82" t="s">
        <v>157</v>
      </c>
      <c r="I8" s="98">
        <f>I5/(I6*I7)</f>
        <v>3.3088235294117647E-2</v>
      </c>
      <c r="K8" s="50">
        <v>5</v>
      </c>
      <c r="L8" s="85">
        <f>climate_data__5[[#This Row],[Irradiance 0º (W/m2)]]*'Conversion Technologies'!$I$3*'Conversion Technologies'!$I$4</f>
        <v>0</v>
      </c>
    </row>
    <row r="9" spans="1:14" x14ac:dyDescent="0.35">
      <c r="K9" s="50">
        <v>6</v>
      </c>
      <c r="L9" s="85">
        <f>climate_data__5[[#This Row],[Irradiance 0º (W/m2)]]*'Conversion Technologies'!$I$3*'Conversion Technologies'!$I$4</f>
        <v>0</v>
      </c>
    </row>
    <row r="10" spans="1:14" x14ac:dyDescent="0.35">
      <c r="I10" s="82" t="s">
        <v>179</v>
      </c>
      <c r="K10" s="50">
        <v>7</v>
      </c>
      <c r="L10" s="85">
        <f>climate_data__5[[#This Row],[Irradiance 0º (W/m2)]]*'Conversion Technologies'!$I$3*'Conversion Technologies'!$I$4</f>
        <v>0</v>
      </c>
    </row>
    <row r="11" spans="1:14" x14ac:dyDescent="0.35">
      <c r="H11" s="82" t="s">
        <v>176</v>
      </c>
      <c r="I11" s="99">
        <v>1</v>
      </c>
      <c r="K11" s="50">
        <v>8</v>
      </c>
      <c r="L11" s="85">
        <f>climate_data__5[[#This Row],[Irradiance 0º (W/m2)]]*'Conversion Technologies'!$I$3*'Conversion Technologies'!$I$4</f>
        <v>0</v>
      </c>
    </row>
    <row r="12" spans="1:14" x14ac:dyDescent="0.35">
      <c r="H12" s="82" t="s">
        <v>177</v>
      </c>
      <c r="I12" s="96">
        <v>10</v>
      </c>
      <c r="K12" s="50">
        <v>9</v>
      </c>
      <c r="L12" s="85">
        <f>climate_data__5[[#This Row],[Irradiance 0º (W/m2)]]*'Conversion Technologies'!$I$3*'Conversion Technologies'!$I$4</f>
        <v>27.660000000000004</v>
      </c>
    </row>
    <row r="13" spans="1:14" x14ac:dyDescent="0.35">
      <c r="H13" s="82" t="s">
        <v>178</v>
      </c>
      <c r="I13" s="96">
        <v>20</v>
      </c>
      <c r="K13" s="50">
        <v>10</v>
      </c>
      <c r="L13" s="85">
        <f>climate_data__5[[#This Row],[Irradiance 0º (W/m2)]]*'Conversion Technologies'!$I$3*'Conversion Technologies'!$I$4</f>
        <v>54.760000000000005</v>
      </c>
    </row>
    <row r="14" spans="1:14" x14ac:dyDescent="0.35">
      <c r="K14" s="50">
        <v>11</v>
      </c>
      <c r="L14" s="85">
        <f>climate_data__5[[#This Row],[Irradiance 0º (W/m2)]]*'Conversion Technologies'!$I$3*'Conversion Technologies'!$I$4</f>
        <v>60.550000000000004</v>
      </c>
    </row>
    <row r="15" spans="1:14" x14ac:dyDescent="0.35">
      <c r="H15" s="128" t="s">
        <v>187</v>
      </c>
      <c r="I15" s="128"/>
      <c r="K15" s="50">
        <v>12</v>
      </c>
      <c r="L15" s="85">
        <f>climate_data__5[[#This Row],[Irradiance 0º (W/m2)]]*'Conversion Technologies'!$I$3*'Conversion Technologies'!$I$4</f>
        <v>94.06</v>
      </c>
    </row>
    <row r="16" spans="1:14" x14ac:dyDescent="0.35">
      <c r="H16" s="82" t="s">
        <v>191</v>
      </c>
      <c r="I16" s="96">
        <v>2.5</v>
      </c>
      <c r="K16" s="50">
        <v>13</v>
      </c>
      <c r="L16" s="85">
        <f>climate_data__5[[#This Row],[Irradiance 0º (W/m2)]]*'Conversion Technologies'!$I$3*'Conversion Technologies'!$I$4</f>
        <v>118.36499999999999</v>
      </c>
    </row>
    <row r="17" spans="8:12" x14ac:dyDescent="0.35">
      <c r="H17" s="82" t="s">
        <v>188</v>
      </c>
      <c r="I17" s="97">
        <v>0.8</v>
      </c>
      <c r="K17" s="50">
        <v>14</v>
      </c>
      <c r="L17" s="85">
        <f>climate_data__5[[#This Row],[Irradiance 0º (W/m2)]]*'Conversion Technologies'!$I$3*'Conversion Technologies'!$I$4</f>
        <v>98.185000000000002</v>
      </c>
    </row>
    <row r="18" spans="8:12" x14ac:dyDescent="0.35">
      <c r="H18" s="82" t="s">
        <v>189</v>
      </c>
      <c r="I18" s="96">
        <v>1</v>
      </c>
      <c r="K18" s="50">
        <v>15</v>
      </c>
      <c r="L18" s="85">
        <f>climate_data__5[[#This Row],[Irradiance 0º (W/m2)]]*'Conversion Technologies'!$I$3*'Conversion Technologies'!$I$4</f>
        <v>99.82</v>
      </c>
    </row>
    <row r="19" spans="8:12" x14ac:dyDescent="0.35">
      <c r="H19" s="82" t="s">
        <v>159</v>
      </c>
      <c r="I19" s="96">
        <v>1500</v>
      </c>
      <c r="K19" s="50">
        <v>16</v>
      </c>
      <c r="L19" s="85">
        <f>climate_data__5[[#This Row],[Irradiance 0º (W/m2)]]*'Conversion Technologies'!$I$3*'Conversion Technologies'!$I$4</f>
        <v>90.865000000000009</v>
      </c>
    </row>
    <row r="20" spans="8:12" x14ac:dyDescent="0.35">
      <c r="H20" s="82" t="s">
        <v>190</v>
      </c>
      <c r="I20" s="96">
        <v>6000</v>
      </c>
      <c r="K20" s="50">
        <v>17</v>
      </c>
      <c r="L20" s="85">
        <f>climate_data__5[[#This Row],[Irradiance 0º (W/m2)]]*'Conversion Technologies'!$I$3*'Conversion Technologies'!$I$4</f>
        <v>89.185000000000002</v>
      </c>
    </row>
    <row r="21" spans="8:12" x14ac:dyDescent="0.35">
      <c r="H21" s="82" t="s">
        <v>157</v>
      </c>
      <c r="I21" s="98">
        <f>I19/(I16*I17*I20)</f>
        <v>0.125</v>
      </c>
      <c r="K21" s="50">
        <v>18</v>
      </c>
      <c r="L21" s="85">
        <f>climate_data__5[[#This Row],[Irradiance 0º (W/m2)]]*'Conversion Technologies'!$I$3*'Conversion Technologies'!$I$4</f>
        <v>76.055000000000007</v>
      </c>
    </row>
    <row r="22" spans="8:12" x14ac:dyDescent="0.35">
      <c r="K22" s="50">
        <v>19</v>
      </c>
      <c r="L22" s="85">
        <f>climate_data__5[[#This Row],[Irradiance 0º (W/m2)]]*'Conversion Technologies'!$I$3*'Conversion Technologies'!$I$4</f>
        <v>0</v>
      </c>
    </row>
    <row r="23" spans="8:12" x14ac:dyDescent="0.35">
      <c r="I23" s="82" t="s">
        <v>192</v>
      </c>
      <c r="K23" s="50">
        <v>20</v>
      </c>
      <c r="L23" s="85">
        <f>climate_data__5[[#This Row],[Irradiance 0º (W/m2)]]*'Conversion Technologies'!$I$3*'Conversion Technologies'!$I$4</f>
        <v>0</v>
      </c>
    </row>
    <row r="24" spans="8:12" x14ac:dyDescent="0.35">
      <c r="H24" s="82" t="s">
        <v>191</v>
      </c>
      <c r="I24" s="96">
        <v>2</v>
      </c>
      <c r="K24" s="50">
        <v>21</v>
      </c>
      <c r="L24" s="85">
        <f>climate_data__5[[#This Row],[Irradiance 0º (W/m2)]]*'Conversion Technologies'!$I$3*'Conversion Technologies'!$I$4</f>
        <v>0</v>
      </c>
    </row>
    <row r="25" spans="8:12" x14ac:dyDescent="0.35">
      <c r="H25" s="82" t="s">
        <v>194</v>
      </c>
      <c r="I25" s="96">
        <v>2</v>
      </c>
      <c r="K25" s="50">
        <v>22</v>
      </c>
      <c r="L25" s="85">
        <f>climate_data__5[[#This Row],[Irradiance 0º (W/m2)]]*'Conversion Technologies'!$I$3*'Conversion Technologies'!$I$4</f>
        <v>0</v>
      </c>
    </row>
    <row r="26" spans="8:12" x14ac:dyDescent="0.35">
      <c r="H26" s="82" t="s">
        <v>81</v>
      </c>
      <c r="I26" s="97">
        <v>0.95</v>
      </c>
      <c r="K26" s="50">
        <v>23</v>
      </c>
      <c r="L26" s="85">
        <f>climate_data__5[[#This Row],[Irradiance 0º (W/m2)]]*'Conversion Technologies'!$I$3*'Conversion Technologies'!$I$4</f>
        <v>0</v>
      </c>
    </row>
  </sheetData>
  <mergeCells count="3">
    <mergeCell ref="H1:I1"/>
    <mergeCell ref="K1:L1"/>
    <mergeCell ref="H15:I1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D4925-7498-4C2D-978D-76B51CD7D810}">
  <sheetPr codeName="Sheet11"/>
  <dimension ref="A1:V27"/>
  <sheetViews>
    <sheetView topLeftCell="F1" zoomScale="60" zoomScaleNormal="60" workbookViewId="0">
      <selection activeCell="U13" sqref="U13"/>
    </sheetView>
  </sheetViews>
  <sheetFormatPr defaultRowHeight="14.5" x14ac:dyDescent="0.35"/>
  <cols>
    <col min="1" max="1" width="11.81640625" bestFit="1" customWidth="1"/>
    <col min="2" max="2" width="19" customWidth="1"/>
    <col min="3" max="3" width="18.7265625" customWidth="1"/>
    <col min="4" max="4" width="17.6328125" customWidth="1"/>
    <col min="5" max="5" width="17.1796875" customWidth="1"/>
    <col min="7" max="7" width="11.6328125" customWidth="1"/>
    <col min="8" max="8" width="20.7265625" customWidth="1"/>
    <col min="9" max="9" width="20.54296875" customWidth="1"/>
    <col min="10" max="10" width="19.54296875" customWidth="1"/>
    <col min="11" max="11" width="17.6328125" customWidth="1"/>
    <col min="12" max="13" width="12.1796875" customWidth="1"/>
    <col min="14" max="14" width="21.08984375" customWidth="1"/>
    <col min="15" max="15" width="20.81640625" customWidth="1"/>
    <col min="16" max="16" width="19.453125" customWidth="1"/>
    <col min="17" max="17" width="18.54296875" customWidth="1"/>
    <col min="18" max="19" width="12.1796875" customWidth="1"/>
    <col min="20" max="20" width="20.26953125" customWidth="1"/>
    <col min="21" max="21" width="19.90625" customWidth="1"/>
    <col min="22" max="22" width="19.1796875" customWidth="1"/>
    <col min="23" max="23" width="16" customWidth="1"/>
  </cols>
  <sheetData>
    <row r="1" spans="1:22" ht="18.5" x14ac:dyDescent="0.45">
      <c r="A1" s="107" t="s">
        <v>154</v>
      </c>
      <c r="B1" s="107"/>
      <c r="C1" s="107"/>
      <c r="D1" s="107"/>
      <c r="E1" s="107"/>
      <c r="G1" s="107" t="s">
        <v>173</v>
      </c>
      <c r="H1" s="107"/>
      <c r="I1" s="107"/>
      <c r="J1" s="107"/>
      <c r="K1" s="107"/>
      <c r="M1" s="107" t="s">
        <v>186</v>
      </c>
      <c r="N1" s="107"/>
      <c r="O1" s="107"/>
      <c r="P1" s="107"/>
      <c r="Q1" s="107"/>
    </row>
    <row r="2" spans="1:22" x14ac:dyDescent="0.35">
      <c r="A2" s="1" t="s">
        <v>3</v>
      </c>
      <c r="B2" s="1" t="s">
        <v>82</v>
      </c>
      <c r="C2" s="1" t="s">
        <v>83</v>
      </c>
      <c r="D2" s="1" t="s">
        <v>84</v>
      </c>
      <c r="E2" s="1" t="s">
        <v>8</v>
      </c>
      <c r="G2" s="1" t="s">
        <v>3</v>
      </c>
      <c r="H2" s="1" t="s">
        <v>82</v>
      </c>
      <c r="I2" s="1" t="s">
        <v>83</v>
      </c>
      <c r="J2" s="1" t="s">
        <v>84</v>
      </c>
      <c r="K2" s="1" t="s">
        <v>8</v>
      </c>
      <c r="M2" s="1" t="s">
        <v>3</v>
      </c>
      <c r="N2" s="1" t="s">
        <v>82</v>
      </c>
      <c r="O2" s="1" t="s">
        <v>83</v>
      </c>
      <c r="P2" s="1" t="s">
        <v>84</v>
      </c>
      <c r="Q2" s="1" t="s">
        <v>8</v>
      </c>
    </row>
    <row r="3" spans="1:22" x14ac:dyDescent="0.35">
      <c r="A3" s="1">
        <v>0</v>
      </c>
      <c r="B3" s="1">
        <f>final_electricity__1619[[#This Row],[ Building 1 (kWh)]]/'Conversion Technologies'!$D$2/'Primary Energy'!$V$4</f>
        <v>2.803577571379429E-5</v>
      </c>
      <c r="C3" s="1">
        <f>final_electricity__1619[[#This Row],[Building 2 (kWh)]]/'Conversion Technologies'!$D$2/'Primary Energy'!$V$4</f>
        <v>2.1689886480908152E-2</v>
      </c>
      <c r="D3" s="1">
        <f>final_electricity__1619[[#This Row],[Building 3 (kWh)]]/'Conversion Technologies'!$D$2/'Primary Energy'!$V$4</f>
        <v>2.1126934984520122E-2</v>
      </c>
      <c r="E3" s="1">
        <f>final_electricity__1619[[#This Row],[Community]]/'Conversion Technologies'!$D$2/'Primary Energy'!$V$4</f>
        <v>4.2844857241142072E-2</v>
      </c>
      <c r="G3" s="1">
        <v>0</v>
      </c>
      <c r="H3" s="1">
        <f>final_electricity__16192426[[#This Row],[ Building 1 (kWh)]]/'Conversion Technologies'!$D$2/'Primary Energy'!$V$4</f>
        <v>3.9475149594984195E-4</v>
      </c>
      <c r="I3" s="1">
        <f>final_electricity__16192426[[#This Row],[Building 2 (kWh)]]/'Conversion Technologies'!$D$2/'Primary Energy'!$V$4</f>
        <v>2.1689886480908152E-2</v>
      </c>
      <c r="J3" s="1">
        <f>final_electricity__16192426[[#This Row],[Building 3 (kWh)]]/'Conversion Technologies'!$D$2/'Primary Energy'!$V$4</f>
        <v>2.1126934984520122E-2</v>
      </c>
      <c r="K3" s="1">
        <f>final_electricity__16192426[[#This Row],[Community]]/'Conversion Technologies'!$D$2/'Primary Energy'!$V$4</f>
        <v>4.321157296137812E-2</v>
      </c>
      <c r="M3" s="1">
        <v>0</v>
      </c>
      <c r="N3" s="1">
        <f>ABS(('Services+PV Management'!Q32/'Conversion Technologies'!$D$2/'Primary Energy'!$V$4)+(final_electricity__161924263031[[#This Row],[ Building 1 (kWh)]]/'Primary Energy'!$V$4))</f>
        <v>3.9475149594984195E-4</v>
      </c>
      <c r="O3" s="1">
        <f>ABS(('Services+PV Management'!R32/'Conversion Technologies'!$D$2/'Primary Energy'!$V$4)+(final_electricity__161924263031[[#This Row],[Building 2 (kWh)]]/'Primary Energy'!$V$4))</f>
        <v>2.1689886480908152E-2</v>
      </c>
      <c r="P3" s="1">
        <f>ABS(('Services+PV Management'!S32/'Conversion Technologies'!$D$2/'Primary Energy'!$V$4)+(final_electricity__161924263031[[#This Row],[Building 3 (kWh)]]/'Primary Energy'!$V$4))</f>
        <v>2.1126934984520122E-2</v>
      </c>
      <c r="Q3" s="1">
        <f>ABS(('Services+PV Management'!T32/'Conversion Technologies'!$D$2/'Primary Energy'!$V$4)+(final_electricity__161924263031[[#This Row],[Community]]/'Primary Energy'!$V$4))</f>
        <v>4.321157296137812E-2</v>
      </c>
      <c r="U3" s="11" t="s">
        <v>12</v>
      </c>
      <c r="V3" s="11" t="s">
        <v>13</v>
      </c>
    </row>
    <row r="4" spans="1:22" x14ac:dyDescent="0.35">
      <c r="A4" s="1">
        <v>1</v>
      </c>
      <c r="B4" s="1">
        <f>final_electricity__1619[[#This Row],[ Building 1 (kWh)]]/'Conversion Technologies'!$D$2/'Primary Energy'!$V$4</f>
        <v>2.5627794977640179E-5</v>
      </c>
      <c r="C4" s="1">
        <f>final_electricity__1619[[#This Row],[Building 2 (kWh)]]/'Conversion Technologies'!$D$2/'Primary Energy'!$V$4</f>
        <v>2.1425180598555211E-2</v>
      </c>
      <c r="D4" s="1">
        <f>final_electricity__1619[[#This Row],[Building 3 (kWh)]]/'Conversion Technologies'!$D$2/'Primary Energy'!$V$4</f>
        <v>2.0830065359477123E-2</v>
      </c>
      <c r="E4" s="1">
        <f>final_electricity__1619[[#This Row],[Community]]/'Conversion Technologies'!$D$2/'Primary Energy'!$V$4</f>
        <v>4.2280873753009977E-2</v>
      </c>
      <c r="G4" s="1">
        <v>1</v>
      </c>
      <c r="H4" s="1">
        <f>final_electricity__16192426[[#This Row],[ Building 1 (kWh)]]/'Conversion Technologies'!$D$2/'Primary Energy'!$V$4</f>
        <v>3.8692491331269352E-5</v>
      </c>
      <c r="I4" s="1">
        <f>final_electricity__16192426[[#This Row],[Building 2 (kWh)]]/'Conversion Technologies'!$D$2/'Primary Energy'!$V$4</f>
        <v>2.1425180598555211E-2</v>
      </c>
      <c r="J4" s="1">
        <f>final_electricity__16192426[[#This Row],[Building 3 (kWh)]]/'Conversion Technologies'!$D$2/'Primary Energy'!$V$4</f>
        <v>2.0830065359477123E-2</v>
      </c>
      <c r="K4" s="1">
        <f>final_electricity__16192426[[#This Row],[Community]]/'Conversion Technologies'!$D$2/'Primary Energy'!$V$4</f>
        <v>4.2293938449363598E-2</v>
      </c>
      <c r="M4" s="1">
        <v>1</v>
      </c>
      <c r="N4" s="1">
        <f>ABS(('Services+PV Management'!Q33/'Conversion Technologies'!$D$2/'Primary Energy'!$V$4)+(final_electricity__161924263031[[#This Row],[ Building 1 (kWh)]]/'Primary Energy'!$V$4))</f>
        <v>3.8692491331269352E-5</v>
      </c>
      <c r="O4" s="1">
        <f>ABS(('Services+PV Management'!R33/'Conversion Technologies'!$D$2/'Primary Energy'!$V$4)+(final_electricity__161924263031[[#This Row],[Building 2 (kWh)]]/'Primary Energy'!$V$4))</f>
        <v>2.1425180598555211E-2</v>
      </c>
      <c r="P4" s="1">
        <f>ABS(('Services+PV Management'!S33/'Conversion Technologies'!$D$2/'Primary Energy'!$V$4)+(final_electricity__161924263031[[#This Row],[Building 3 (kWh)]]/'Primary Energy'!$V$4))</f>
        <v>2.0830065359477123E-2</v>
      </c>
      <c r="Q4" s="1">
        <f>ABS(('Services+PV Management'!T33/'Conversion Technologies'!$D$2/'Primary Energy'!$V$4)+(final_electricity__161924263031[[#This Row],[Community]]/'Primary Energy'!$V$4))</f>
        <v>4.2293938449363598E-2</v>
      </c>
      <c r="U4" s="11">
        <v>1</v>
      </c>
      <c r="V4" s="11">
        <v>11628</v>
      </c>
    </row>
    <row r="5" spans="1:22" x14ac:dyDescent="0.35">
      <c r="A5" s="1">
        <v>2</v>
      </c>
      <c r="B5" s="1">
        <f>final_electricity__1619[[#This Row],[ Building 1 (kWh)]]/'Conversion Technologies'!$D$2/'Primary Energy'!$V$4</f>
        <v>2.0811833505331958E-5</v>
      </c>
      <c r="C5" s="1">
        <f>final_electricity__1619[[#This Row],[Building 2 (kWh)]]/'Conversion Technologies'!$D$2/'Primary Energy'!$V$4</f>
        <v>2.1025111799105607E-2</v>
      </c>
      <c r="D5" s="1">
        <f>final_electricity__1619[[#This Row],[Building 3 (kWh)]]/'Conversion Technologies'!$D$2/'Primary Energy'!$V$4</f>
        <v>1.9151874785001719E-2</v>
      </c>
      <c r="E5" s="1">
        <f>final_electricity__1619[[#This Row],[Community]]/'Conversion Technologies'!$D$2/'Primary Energy'!$V$4</f>
        <v>4.0197798417612653E-2</v>
      </c>
      <c r="G5" s="1">
        <v>2</v>
      </c>
      <c r="H5" s="1">
        <f>final_electricity__16192426[[#This Row],[ Building 1 (kWh)]]/'Conversion Technologies'!$D$2/'Primary Energy'!$V$4</f>
        <v>2.5690567821973656E-3</v>
      </c>
      <c r="I5" s="1">
        <f>final_electricity__16192426[[#This Row],[Building 2 (kWh)]]/'Conversion Technologies'!$D$2/'Primary Energy'!$V$4</f>
        <v>2.1025111799105607E-2</v>
      </c>
      <c r="J5" s="1">
        <f>final_electricity__16192426[[#This Row],[Building 3 (kWh)]]/'Conversion Technologies'!$D$2/'Primary Energy'!$V$4</f>
        <v>1.9151874785001719E-2</v>
      </c>
      <c r="K5" s="1">
        <f>final_electricity__16192426[[#This Row],[Community]]/'Conversion Technologies'!$D$2/'Primary Energy'!$V$4</f>
        <v>4.2746043366304692E-2</v>
      </c>
      <c r="M5" s="1">
        <v>2</v>
      </c>
      <c r="N5" s="1">
        <f>ABS(('Services+PV Management'!Q34/'Conversion Technologies'!$D$2/'Primary Energy'!$V$4)+(final_electricity__161924263031[[#This Row],[ Building 1 (kWh)]]/'Primary Energy'!$V$4))</f>
        <v>2.5690567821973656E-3</v>
      </c>
      <c r="O5" s="1">
        <f>ABS(('Services+PV Management'!R34/'Conversion Technologies'!$D$2/'Primary Energy'!$V$4)+(final_electricity__161924263031[[#This Row],[Building 2 (kWh)]]/'Primary Energy'!$V$4))</f>
        <v>2.1025111799105607E-2</v>
      </c>
      <c r="P5" s="1">
        <f>ABS(('Services+PV Management'!S34/'Conversion Technologies'!$D$2/'Primary Energy'!$V$4)+(final_electricity__161924263031[[#This Row],[Building 3 (kWh)]]/'Primary Energy'!$V$4))</f>
        <v>1.9151874785001719E-2</v>
      </c>
      <c r="Q5" s="1">
        <f>ABS(('Services+PV Management'!T34/'Conversion Technologies'!$D$2/'Primary Energy'!$V$4)+(final_electricity__161924263031[[#This Row],[Community]]/'Primary Energy'!$V$4))</f>
        <v>4.2746043366304692E-2</v>
      </c>
    </row>
    <row r="6" spans="1:22" x14ac:dyDescent="0.35">
      <c r="A6" s="1">
        <v>3</v>
      </c>
      <c r="B6" s="1">
        <f>final_electricity__1619[[#This Row],[ Building 1 (kWh)]]/'Conversion Technologies'!$D$2/'Primary Energy'!$V$4</f>
        <v>1.9263845889232888E-5</v>
      </c>
      <c r="C6" s="1">
        <f>final_electricity__1619[[#This Row],[Building 2 (kWh)]]/'Conversion Technologies'!$D$2/'Primary Energy'!$V$4</f>
        <v>2.0524939800481597E-2</v>
      </c>
      <c r="D6" s="1">
        <f>final_electricity__1619[[#This Row],[Building 3 (kWh)]]/'Conversion Technologies'!$D$2/'Primary Energy'!$V$4</f>
        <v>1.8640006879944961E-2</v>
      </c>
      <c r="E6" s="1">
        <f>final_electricity__1619[[#This Row],[Community]]/'Conversion Technologies'!$D$2/'Primary Energy'!$V$4</f>
        <v>3.9184210526315794E-2</v>
      </c>
      <c r="G6" s="1">
        <v>3</v>
      </c>
      <c r="H6" s="1">
        <f>final_electricity__16192426[[#This Row],[ Building 1 (kWh)]]/'Conversion Technologies'!$D$2/'Primary Energy'!$V$4</f>
        <v>3.7815444410044724E-5</v>
      </c>
      <c r="I6" s="1">
        <f>final_electricity__16192426[[#This Row],[Building 2 (kWh)]]/'Conversion Technologies'!$D$2/'Primary Energy'!$V$4</f>
        <v>2.0524939800481597E-2</v>
      </c>
      <c r="J6" s="1">
        <f>final_electricity__16192426[[#This Row],[Building 3 (kWh)]]/'Conversion Technologies'!$D$2/'Primary Energy'!$V$4</f>
        <v>1.8640006879944961E-2</v>
      </c>
      <c r="K6" s="1">
        <f>final_electricity__16192426[[#This Row],[Community]]/'Conversion Technologies'!$D$2/'Primary Energy'!$V$4</f>
        <v>3.9202762124836601E-2</v>
      </c>
      <c r="M6" s="1">
        <v>3</v>
      </c>
      <c r="N6" s="1">
        <f>ABS(('Services+PV Management'!Q35/'Conversion Technologies'!$D$2/'Primary Energy'!$V$4)+(final_electricity__161924263031[[#This Row],[ Building 1 (kWh)]]/'Primary Energy'!$V$4))</f>
        <v>3.7815444410044724E-5</v>
      </c>
      <c r="O6" s="1">
        <f>ABS(('Services+PV Management'!R35/'Conversion Technologies'!$D$2/'Primary Energy'!$V$4)+(final_electricity__161924263031[[#This Row],[Building 2 (kWh)]]/'Primary Energy'!$V$4))</f>
        <v>2.0524939800481597E-2</v>
      </c>
      <c r="P6" s="1">
        <f>ABS(('Services+PV Management'!S35/'Conversion Technologies'!$D$2/'Primary Energy'!$V$4)+(final_electricity__161924263031[[#This Row],[Building 3 (kWh)]]/'Primary Energy'!$V$4))</f>
        <v>1.8640006879944961E-2</v>
      </c>
      <c r="Q6" s="1">
        <f>ABS(('Services+PV Management'!T35/'Conversion Technologies'!$D$2/'Primary Energy'!$V$4)+(final_electricity__161924263031[[#This Row],[Community]]/'Primary Energy'!$V$4))</f>
        <v>3.9202762124836601E-2</v>
      </c>
    </row>
    <row r="7" spans="1:22" x14ac:dyDescent="0.35">
      <c r="A7" s="1">
        <v>4</v>
      </c>
      <c r="B7" s="1">
        <f>final_electricity__1619[[#This Row],[ Building 1 (kWh)]]/'Conversion Technologies'!$D$2/'Primary Energy'!$V$4</f>
        <v>2.0123839009287928E-5</v>
      </c>
      <c r="C7" s="1">
        <f>final_electricity__1619[[#This Row],[Building 2 (kWh)]]/'Conversion Technologies'!$D$2/'Primary Energy'!$V$4</f>
        <v>2.0374269005847954E-2</v>
      </c>
      <c r="D7" s="1">
        <f>final_electricity__1619[[#This Row],[Building 3 (kWh)]]/'Conversion Technologies'!$D$2/'Primary Energy'!$V$4</f>
        <v>1.9129858961128312E-2</v>
      </c>
      <c r="E7" s="1">
        <f>final_electricity__1619[[#This Row],[Community]]/'Conversion Technologies'!$D$2/'Primary Energy'!$V$4</f>
        <v>3.9524251805985552E-2</v>
      </c>
      <c r="G7" s="1">
        <v>4</v>
      </c>
      <c r="H7" s="1">
        <f>final_electricity__16192426[[#This Row],[ Building 1 (kWh)]]/'Conversion Technologies'!$D$2/'Primary Energy'!$V$4</f>
        <v>4.1418888613691103E-5</v>
      </c>
      <c r="I7" s="1">
        <f>final_electricity__16192426[[#This Row],[Building 2 (kWh)]]/'Conversion Technologies'!$D$2/'Primary Energy'!$V$4</f>
        <v>2.0374269005847954E-2</v>
      </c>
      <c r="J7" s="1">
        <f>final_electricity__16192426[[#This Row],[Building 3 (kWh)]]/'Conversion Technologies'!$D$2/'Primary Energy'!$V$4</f>
        <v>1.9129858961128312E-2</v>
      </c>
      <c r="K7" s="1">
        <f>final_electricity__16192426[[#This Row],[Community]]/'Conversion Technologies'!$D$2/'Primary Energy'!$V$4</f>
        <v>3.9545546855589954E-2</v>
      </c>
      <c r="M7" s="1">
        <v>4</v>
      </c>
      <c r="N7" s="1">
        <f>ABS(('Services+PV Management'!Q36/'Conversion Technologies'!$D$2/'Primary Energy'!$V$4)+(final_electricity__161924263031[[#This Row],[ Building 1 (kWh)]]/'Primary Energy'!$V$4))</f>
        <v>4.1418888613691103E-5</v>
      </c>
      <c r="O7" s="1">
        <f>ABS(('Services+PV Management'!R36/'Conversion Technologies'!$D$2/'Primary Energy'!$V$4)+(final_electricity__161924263031[[#This Row],[Building 2 (kWh)]]/'Primary Energy'!$V$4))</f>
        <v>2.0374269005847954E-2</v>
      </c>
      <c r="P7" s="1">
        <f>ABS(('Services+PV Management'!S36/'Conversion Technologies'!$D$2/'Primary Energy'!$V$4)+(final_electricity__161924263031[[#This Row],[Building 3 (kWh)]]/'Primary Energy'!$V$4))</f>
        <v>1.9129858961128312E-2</v>
      </c>
      <c r="Q7" s="1">
        <f>ABS(('Services+PV Management'!T36/'Conversion Technologies'!$D$2/'Primary Energy'!$V$4)+(final_electricity__161924263031[[#This Row],[Community]]/'Primary Energy'!$V$4))</f>
        <v>3.9545546855589954E-2</v>
      </c>
    </row>
    <row r="8" spans="1:22" x14ac:dyDescent="0.35">
      <c r="A8" s="1">
        <v>5</v>
      </c>
      <c r="B8" s="1">
        <f>final_electricity__1619[[#This Row],[ Building 1 (kWh)]]/'Conversion Technologies'!$D$2/'Primary Energy'!$V$4</f>
        <v>2.2359821121431029E-5</v>
      </c>
      <c r="C8" s="1">
        <f>final_electricity__1619[[#This Row],[Building 2 (kWh)]]/'Conversion Technologies'!$D$2/'Primary Energy'!$V$4</f>
        <v>2.1190746474028209E-2</v>
      </c>
      <c r="D8" s="1">
        <f>final_electricity__1619[[#This Row],[Building 3 (kWh)]]/'Conversion Technologies'!$D$2/'Primary Energy'!$V$4</f>
        <v>2.1406604747162022E-2</v>
      </c>
      <c r="E8" s="1">
        <f>final_electricity__1619[[#This Row],[Community]]/'Conversion Technologies'!$D$2/'Primary Energy'!$V$4</f>
        <v>4.2619711042311659E-2</v>
      </c>
      <c r="G8" s="1">
        <v>5</v>
      </c>
      <c r="H8" s="1">
        <f>final_electricity__16192426[[#This Row],[ Building 1 (kWh)]]/'Conversion Technologies'!$D$2/'Primary Energy'!$V$4</f>
        <v>4.5650107877536973E-5</v>
      </c>
      <c r="I8" s="1">
        <f>final_electricity__16192426[[#This Row],[Building 2 (kWh)]]/'Conversion Technologies'!$D$2/'Primary Energy'!$V$4</f>
        <v>2.1190746474028209E-2</v>
      </c>
      <c r="J8" s="1">
        <f>final_electricity__16192426[[#This Row],[Building 3 (kWh)]]/'Conversion Technologies'!$D$2/'Primary Energy'!$V$4</f>
        <v>2.1406604747162022E-2</v>
      </c>
      <c r="K8" s="1">
        <f>final_electricity__16192426[[#This Row],[Community]]/'Conversion Technologies'!$D$2/'Primary Energy'!$V$4</f>
        <v>4.2643001329067766E-2</v>
      </c>
      <c r="M8" s="1">
        <v>5</v>
      </c>
      <c r="N8" s="1">
        <f>ABS(('Services+PV Management'!Q37/'Conversion Technologies'!$D$2/'Primary Energy'!$V$4)+(final_electricity__161924263031[[#This Row],[ Building 1 (kWh)]]/'Primary Energy'!$V$4))</f>
        <v>4.5650107877536973E-5</v>
      </c>
      <c r="O8" s="1">
        <f>ABS(('Services+PV Management'!R37/'Conversion Technologies'!$D$2/'Primary Energy'!$V$4)+(final_electricity__161924263031[[#This Row],[Building 2 (kWh)]]/'Primary Energy'!$V$4))</f>
        <v>2.1190746474028209E-2</v>
      </c>
      <c r="P8" s="1">
        <f>ABS(('Services+PV Management'!S37/'Conversion Technologies'!$D$2/'Primary Energy'!$V$4)+(final_electricity__161924263031[[#This Row],[Building 3 (kWh)]]/'Primary Energy'!$V$4))</f>
        <v>2.1406604747162022E-2</v>
      </c>
      <c r="Q8" s="1">
        <f>ABS(('Services+PV Management'!T37/'Conversion Technologies'!$D$2/'Primary Energy'!$V$4)+(final_electricity__161924263031[[#This Row],[Community]]/'Primary Energy'!$V$4))</f>
        <v>4.2643001329067766E-2</v>
      </c>
    </row>
    <row r="9" spans="1:22" x14ac:dyDescent="0.35">
      <c r="A9" s="1">
        <v>6</v>
      </c>
      <c r="B9" s="1">
        <f>final_electricity__1619[[#This Row],[ Building 1 (kWh)]]/'Conversion Technologies'!$D$2/'Primary Energy'!$V$4</f>
        <v>2.0123839009287928E-5</v>
      </c>
      <c r="C9" s="1">
        <f>final_electricity__1619[[#This Row],[Building 2 (kWh)]]/'Conversion Technologies'!$D$2/'Primary Energy'!$V$4</f>
        <v>2.2164430684554523E-2</v>
      </c>
      <c r="D9" s="1">
        <f>final_electricity__1619[[#This Row],[Building 3 (kWh)]]/'Conversion Technologies'!$D$2/'Primary Energy'!$V$4</f>
        <v>2.3277605779153769E-2</v>
      </c>
      <c r="E9" s="1">
        <f>final_electricity__1619[[#This Row],[Community]]/'Conversion Technologies'!$D$2/'Primary Energy'!$V$4</f>
        <v>4.5462160302717582E-2</v>
      </c>
      <c r="G9" s="1">
        <v>6</v>
      </c>
      <c r="H9" s="1">
        <f>final_electricity__16192426[[#This Row],[ Building 1 (kWh)]]/'Conversion Technologies'!$D$2/'Primary Energy'!$V$4</f>
        <v>4.5409362917096655E-5</v>
      </c>
      <c r="I9" s="1">
        <f>final_electricity__16192426[[#This Row],[Building 2 (kWh)]]/'Conversion Technologies'!$D$2/'Primary Energy'!$V$4</f>
        <v>2.2164430684554523E-2</v>
      </c>
      <c r="J9" s="1">
        <f>final_electricity__16192426[[#This Row],[Building 3 (kWh)]]/'Conversion Technologies'!$D$2/'Primary Energy'!$V$4</f>
        <v>2.3277605779153769E-2</v>
      </c>
      <c r="K9" s="1">
        <f>final_electricity__16192426[[#This Row],[Community]]/'Conversion Technologies'!$D$2/'Primary Energy'!$V$4</f>
        <v>4.5487445826625388E-2</v>
      </c>
      <c r="M9" s="1">
        <v>6</v>
      </c>
      <c r="N9" s="1">
        <f>ABS(('Services+PV Management'!Q38/'Conversion Technologies'!$D$2/'Primary Energy'!$V$4)+(final_electricity__161924263031[[#This Row],[ Building 1 (kWh)]]/'Primary Energy'!$V$4))</f>
        <v>4.5409362917096655E-5</v>
      </c>
      <c r="O9" s="1">
        <f>ABS(('Services+PV Management'!R38/'Conversion Technologies'!$D$2/'Primary Energy'!$V$4)+(final_electricity__161924263031[[#This Row],[Building 2 (kWh)]]/'Primary Energy'!$V$4))</f>
        <v>2.2164430684554523E-2</v>
      </c>
      <c r="P9" s="1">
        <f>ABS(('Services+PV Management'!S38/'Conversion Technologies'!$D$2/'Primary Energy'!$V$4)+(final_electricity__161924263031[[#This Row],[Building 3 (kWh)]]/'Primary Energy'!$V$4))</f>
        <v>2.3277605779153769E-2</v>
      </c>
      <c r="Q9" s="1">
        <f>ABS(('Services+PV Management'!T38/'Conversion Technologies'!$D$2/'Primary Energy'!$V$4)+(final_electricity__161924263031[[#This Row],[Community]]/'Primary Energy'!$V$4))</f>
        <v>4.5487445826625388E-2</v>
      </c>
    </row>
    <row r="10" spans="1:22" x14ac:dyDescent="0.35">
      <c r="A10" s="1">
        <v>7</v>
      </c>
      <c r="B10" s="1">
        <f>final_electricity__1619[[#This Row],[ Building 1 (kWh)]]/'Conversion Technologies'!$D$2/'Primary Energy'!$V$4</f>
        <v>6.4843481252149977E-5</v>
      </c>
      <c r="C10" s="1">
        <f>final_electricity__1619[[#This Row],[Building 2 (kWh)]]/'Conversion Technologies'!$D$2/'Primary Energy'!$V$4</f>
        <v>2.6991744066047471E-2</v>
      </c>
      <c r="D10" s="1">
        <f>final_electricity__1619[[#This Row],[Building 3 (kWh)]]/'Conversion Technologies'!$D$2/'Primary Energy'!$V$4</f>
        <v>3.5309081527347783E-2</v>
      </c>
      <c r="E10" s="1">
        <f>final_electricity__1619[[#This Row],[Community]]/'Conversion Technologies'!$D$2/'Primary Energy'!$V$4</f>
        <v>6.2365669074647412E-2</v>
      </c>
      <c r="G10" s="1">
        <v>7</v>
      </c>
      <c r="H10" s="1">
        <f>final_electricity__16192426[[#This Row],[ Building 1 (kWh)]]/'Conversion Technologies'!$D$2/'Primary Energy'!$V$4</f>
        <v>9.2248944633642916E-5</v>
      </c>
      <c r="I10" s="1">
        <f>final_electricity__16192426[[#This Row],[Building 2 (kWh)]]/'Conversion Technologies'!$D$2/'Primary Energy'!$V$4</f>
        <v>2.6991744066047471E-2</v>
      </c>
      <c r="J10" s="1">
        <f>final_electricity__16192426[[#This Row],[Building 3 (kWh)]]/'Conversion Technologies'!$D$2/'Primary Energy'!$V$4</f>
        <v>3.5309081527347783E-2</v>
      </c>
      <c r="K10" s="1">
        <f>final_electricity__16192426[[#This Row],[Community]]/'Conversion Technologies'!$D$2/'Primary Energy'!$V$4</f>
        <v>6.2393074538028906E-2</v>
      </c>
      <c r="M10" s="1">
        <v>7</v>
      </c>
      <c r="N10" s="1">
        <f>ABS(('Services+PV Management'!Q39/'Conversion Technologies'!$D$2/'Primary Energy'!$V$4)+(final_electricity__161924263031[[#This Row],[ Building 1 (kWh)]]/'Primary Energy'!$V$4))</f>
        <v>9.2248944633642916E-5</v>
      </c>
      <c r="O10" s="1">
        <f>ABS(('Services+PV Management'!R39/'Conversion Technologies'!$D$2/'Primary Energy'!$V$4)+(final_electricity__161924263031[[#This Row],[Building 2 (kWh)]]/'Primary Energy'!$V$4))</f>
        <v>2.6991744066047471E-2</v>
      </c>
      <c r="P10" s="1">
        <f>ABS(('Services+PV Management'!S39/'Conversion Technologies'!$D$2/'Primary Energy'!$V$4)+(final_electricity__161924263031[[#This Row],[Building 3 (kWh)]]/'Primary Energy'!$V$4))</f>
        <v>3.5309081527347783E-2</v>
      </c>
      <c r="Q10" s="1">
        <f>ABS(('Services+PV Management'!T39/'Conversion Technologies'!$D$2/'Primary Energy'!$V$4)+(final_electricity__161924263031[[#This Row],[Community]]/'Primary Energy'!$V$4))</f>
        <v>6.2393074538028906E-2</v>
      </c>
    </row>
    <row r="11" spans="1:22" x14ac:dyDescent="0.35">
      <c r="A11" s="1">
        <v>8</v>
      </c>
      <c r="B11" s="1">
        <f>final_electricity__1619[[#This Row],[ Building 1 (kWh)]]/'Conversion Technologies'!$D$2/'Primary Energy'!$V$4</f>
        <v>1.5514275885792915E-4</v>
      </c>
      <c r="C11" s="1">
        <f>final_electricity__1619[[#This Row],[Building 2 (kWh)]]/'Conversion Technologies'!$D$2/'Primary Energy'!$V$4</f>
        <v>3.6685414516683862E-2</v>
      </c>
      <c r="D11" s="1">
        <f>final_electricity__1619[[#This Row],[Building 3 (kWh)]]/'Conversion Technologies'!$D$2/'Primary Energy'!$V$4</f>
        <v>4.7492260061919506E-2</v>
      </c>
      <c r="E11" s="1">
        <f>final_electricity__1619[[#This Row],[Community]]/'Conversion Technologies'!$D$2/'Primary Energy'!$V$4</f>
        <v>8.4332817337461299E-2</v>
      </c>
      <c r="G11" s="1">
        <v>8</v>
      </c>
      <c r="H11" s="1">
        <f>final_electricity__16192426[[#This Row],[ Building 1 (kWh)]]/'Conversion Technologies'!$D$2/'Primary Energy'!$V$4</f>
        <v>1.9184014582043348E-4</v>
      </c>
      <c r="I11" s="1">
        <f>final_electricity__16192426[[#This Row],[Building 2 (kWh)]]/'Conversion Technologies'!$D$2/'Primary Energy'!$V$4</f>
        <v>3.6685414516683862E-2</v>
      </c>
      <c r="J11" s="1">
        <f>final_electricity__16192426[[#This Row],[Building 3 (kWh)]]/'Conversion Technologies'!$D$2/'Primary Energy'!$V$4</f>
        <v>4.7492260061919506E-2</v>
      </c>
      <c r="K11" s="1">
        <f>final_electricity__16192426[[#This Row],[Community]]/'Conversion Technologies'!$D$2/'Primary Energy'!$V$4</f>
        <v>8.4369514724423805E-2</v>
      </c>
      <c r="M11" s="1">
        <v>8</v>
      </c>
      <c r="N11" s="1">
        <f>ABS(('Services+PV Management'!Q40/'Conversion Technologies'!$D$2/'Primary Energy'!$V$4)+(final_electricity__161924263031[[#This Row],[ Building 1 (kWh)]]/'Primary Energy'!$V$4))</f>
        <v>1.9184014582043348E-4</v>
      </c>
      <c r="O11" s="1">
        <f>ABS(('Services+PV Management'!R40/'Conversion Technologies'!$D$2/'Primary Energy'!$V$4)+(final_electricity__161924263031[[#This Row],[Building 2 (kWh)]]/'Primary Energy'!$V$4))</f>
        <v>3.6685414516683862E-2</v>
      </c>
      <c r="P11" s="1">
        <f>ABS(('Services+PV Management'!S40/'Conversion Technologies'!$D$2/'Primary Energy'!$V$4)+(final_electricity__161924263031[[#This Row],[Building 3 (kWh)]]/'Primary Energy'!$V$4))</f>
        <v>4.7492260061919506E-2</v>
      </c>
      <c r="Q11" s="1">
        <f>ABS(('Services+PV Management'!T40/'Conversion Technologies'!$D$2/'Primary Energy'!$V$4)+(final_electricity__161924263031[[#This Row],[Community]]/'Primary Energy'!$V$4))</f>
        <v>8.4369514724423805E-2</v>
      </c>
    </row>
    <row r="12" spans="1:22" x14ac:dyDescent="0.35">
      <c r="A12" s="1">
        <v>9</v>
      </c>
      <c r="B12" s="1">
        <f>final_electricity__1619[[#This Row],[ Building 1 (kWh)]]/'Conversion Technologies'!$D$2/'Primary Energy'!$V$4</f>
        <v>3.0271757825937391E-5</v>
      </c>
      <c r="C12" s="1">
        <f>final_electricity__1619[[#This Row],[Building 2 (kWh)]]/'Conversion Technologies'!$D$2/'Primary Energy'!$V$4</f>
        <v>4.5514275885792911E-2</v>
      </c>
      <c r="D12" s="1">
        <f>final_electricity__1619[[#This Row],[Building 3 (kWh)]]/'Conversion Technologies'!$D$2/'Primary Energy'!$V$4</f>
        <v>5.6253766769865841E-2</v>
      </c>
      <c r="E12" s="1">
        <f>final_electricity__1619[[#This Row],[Community]]/'Conversion Technologies'!$D$2/'Primary Energy'!$V$4</f>
        <v>0.10179831441348468</v>
      </c>
      <c r="G12" s="1">
        <v>9</v>
      </c>
      <c r="H12" s="1">
        <f>final_electricity__16192426[[#This Row],[ Building 1 (kWh)]]/'Conversion Technologies'!$D$2/'Primary Energy'!$V$4</f>
        <v>3.0271757825937391E-5</v>
      </c>
      <c r="I12" s="1">
        <f>final_electricity__16192426[[#This Row],[Building 2 (kWh)]]/'Conversion Technologies'!$D$2/'Primary Energy'!$V$4</f>
        <v>4.5514275885792911E-2</v>
      </c>
      <c r="J12" s="1">
        <f>final_electricity__16192426[[#This Row],[Building 3 (kWh)]]/'Conversion Technologies'!$D$2/'Primary Energy'!$V$4</f>
        <v>5.6253766769865841E-2</v>
      </c>
      <c r="K12" s="1">
        <f>final_electricity__16192426[[#This Row],[Community]]/'Conversion Technologies'!$D$2/'Primary Energy'!$V$4</f>
        <v>0.10179831441348468</v>
      </c>
      <c r="M12" s="1">
        <v>9</v>
      </c>
      <c r="N12" s="1">
        <f>ABS(('Services+PV Management'!Q41/'Conversion Technologies'!$D$2/'Primary Energy'!$V$4)+(final_electricity__161924263031[[#This Row],[ Building 1 (kWh)]]/'Primary Energy'!$V$4))</f>
        <v>2.551427588579291E-5</v>
      </c>
      <c r="O12" s="1">
        <f>ABS(('Services+PV Management'!R41/'Conversion Technologies'!$D$2/'Primary Energy'!$V$4)+(final_electricity__161924263031[[#This Row],[Building 2 (kWh)]]/'Primary Energy'!$V$4))</f>
        <v>4.5466701066391467E-2</v>
      </c>
      <c r="P12" s="1">
        <f>ABS(('Services+PV Management'!S41/'Conversion Technologies'!$D$2/'Primary Energy'!$V$4)+(final_electricity__161924263031[[#This Row],[Building 3 (kWh)]]/'Primary Energy'!$V$4))</f>
        <v>5.6158617131062946E-2</v>
      </c>
      <c r="Q12" s="1">
        <f>ABS(('Services+PV Management'!T41/'Conversion Technologies'!$D$2/'Primary Energy'!$V$4)+(final_electricity__161924263031[[#This Row],[Community]]/'Primary Energy'!$V$4))</f>
        <v>0.10165083247334022</v>
      </c>
    </row>
    <row r="13" spans="1:22" x14ac:dyDescent="0.35">
      <c r="A13" s="1">
        <v>10</v>
      </c>
      <c r="B13" s="1">
        <f>final_electricity__1619[[#This Row],[ Building 1 (kWh)]]/'Conversion Technologies'!$D$2/'Primary Energy'!$V$4</f>
        <v>5.4695562435500514E-5</v>
      </c>
      <c r="C13" s="1">
        <f>final_electricity__1619[[#This Row],[Building 2 (kWh)]]/'Conversion Technologies'!$D$2/'Primary Energy'!$V$4</f>
        <v>4.790952872377021E-2</v>
      </c>
      <c r="D13" s="1">
        <f>final_electricity__1619[[#This Row],[Building 3 (kWh)]]/'Conversion Technologies'!$D$2/'Primary Energy'!$V$4</f>
        <v>6.1547815617475063E-2</v>
      </c>
      <c r="E13" s="1">
        <f>final_electricity__1619[[#This Row],[Community]]/'Conversion Technologies'!$D$2/'Primary Energy'!$V$4</f>
        <v>0.10951203990368076</v>
      </c>
      <c r="G13" s="1">
        <v>10</v>
      </c>
      <c r="H13" s="1">
        <f>final_electricity__16192426[[#This Row],[ Building 1 (kWh)]]/'Conversion Technologies'!$D$2/'Primary Energy'!$V$4</f>
        <v>5.4695562435500514E-5</v>
      </c>
      <c r="I13" s="1">
        <f>final_electricity__16192426[[#This Row],[Building 2 (kWh)]]/'Conversion Technologies'!$D$2/'Primary Energy'!$V$4</f>
        <v>4.790952872377021E-2</v>
      </c>
      <c r="J13" s="1">
        <f>final_electricity__16192426[[#This Row],[Building 3 (kWh)]]/'Conversion Technologies'!$D$2/'Primary Energy'!$V$4</f>
        <v>6.1547815617475063E-2</v>
      </c>
      <c r="K13" s="1">
        <f>final_electricity__16192426[[#This Row],[Community]]/'Conversion Technologies'!$D$2/'Primary Energy'!$V$4</f>
        <v>0.10951203990368076</v>
      </c>
      <c r="M13" s="1">
        <v>10</v>
      </c>
      <c r="N13" s="1">
        <f>ABS(('Services+PV Management'!Q42/'Conversion Technologies'!$D$2/'Primary Energy'!$V$4)+(final_electricity__161924263031[[#This Row],[ Building 1 (kWh)]]/'Primary Energy'!$V$4))</f>
        <v>4.5276917784657726E-5</v>
      </c>
      <c r="O13" s="1">
        <f>ABS(('Services+PV Management'!R42/'Conversion Technologies'!$D$2/'Primary Energy'!$V$4)+(final_electricity__161924263031[[#This Row],[Building 2 (kWh)]]/'Primary Energy'!$V$4))</f>
        <v>4.7815342277261787E-2</v>
      </c>
      <c r="P13" s="1">
        <f>ABS(('Services+PV Management'!S42/'Conversion Technologies'!$D$2/'Primary Energy'!$V$4)+(final_electricity__161924263031[[#This Row],[Building 3 (kWh)]]/'Primary Energy'!$V$4))</f>
        <v>6.1359442724458202E-2</v>
      </c>
      <c r="Q13" s="1">
        <f>ABS(('Services+PV Management'!T42/'Conversion Technologies'!$D$2/'Primary Energy'!$V$4)+(final_electricity__161924263031[[#This Row],[Community]]/'Primary Energy'!$V$4))</f>
        <v>0.10922006191950466</v>
      </c>
    </row>
    <row r="14" spans="1:22" x14ac:dyDescent="0.35">
      <c r="A14" s="1">
        <v>11</v>
      </c>
      <c r="B14" s="1">
        <f>final_electricity__1619[[#This Row],[ Building 1 (kWh)]]/'Conversion Technologies'!$D$2/'Primary Energy'!$V$4</f>
        <v>2.0983832129342966E-5</v>
      </c>
      <c r="C14" s="1">
        <f>final_electricity__1619[[#This Row],[Building 2 (kWh)]]/'Conversion Technologies'!$D$2/'Primary Energy'!$V$4</f>
        <v>4.9973684210526323E-2</v>
      </c>
      <c r="D14" s="1">
        <f>final_electricity__1619[[#This Row],[Building 3 (kWh)]]/'Conversion Technologies'!$D$2/'Primary Energy'!$V$4</f>
        <v>6.7636394908840727E-2</v>
      </c>
      <c r="E14" s="1">
        <f>final_electricity__1619[[#This Row],[Community]]/'Conversion Technologies'!$D$2/'Primary Energy'!$V$4</f>
        <v>0.11763106295149639</v>
      </c>
      <c r="G14" s="1">
        <v>11</v>
      </c>
      <c r="H14" s="1">
        <f>final_electricity__16192426[[#This Row],[ Building 1 (kWh)]]/'Conversion Technologies'!$D$2/'Primary Energy'!$V$4</f>
        <v>2.0983832129342966E-5</v>
      </c>
      <c r="I14" s="1">
        <f>final_electricity__16192426[[#This Row],[Building 2 (kWh)]]/'Conversion Technologies'!$D$2/'Primary Energy'!$V$4</f>
        <v>4.9973684210526323E-2</v>
      </c>
      <c r="J14" s="1">
        <f>final_electricity__16192426[[#This Row],[Building 3 (kWh)]]/'Conversion Technologies'!$D$2/'Primary Energy'!$V$4</f>
        <v>6.7636394908840727E-2</v>
      </c>
      <c r="K14" s="1">
        <f>final_electricity__16192426[[#This Row],[Community]]/'Conversion Technologies'!$D$2/'Primary Energy'!$V$4</f>
        <v>0.11763106295149639</v>
      </c>
      <c r="M14" s="1">
        <v>11</v>
      </c>
      <c r="N14" s="1">
        <f>ABS(('Services+PV Management'!Q43/'Conversion Technologies'!$D$2/'Primary Energy'!$V$4)+(final_electricity__161924263031[[#This Row],[ Building 1 (kWh)]]/'Primary Energy'!$V$4))</f>
        <v>1.0569315445476435E-5</v>
      </c>
      <c r="O14" s="1">
        <f>ABS(('Services+PV Management'!R43/'Conversion Technologies'!$D$2/'Primary Energy'!$V$4)+(final_electricity__161924263031[[#This Row],[Building 2 (kWh)]]/'Primary Energy'!$V$4))</f>
        <v>4.9869539043687655E-2</v>
      </c>
      <c r="P14" s="1">
        <f>ABS(('Services+PV Management'!S43/'Conversion Technologies'!$D$2/'Primary Energy'!$V$4)+(final_electricity__161924263031[[#This Row],[Building 3 (kWh)]]/'Primary Energy'!$V$4))</f>
        <v>6.7428104575163406E-2</v>
      </c>
      <c r="Q14" s="1">
        <f>ABS(('Services+PV Management'!T43/'Conversion Technologies'!$D$2/'Primary Energy'!$V$4)+(final_electricity__161924263031[[#This Row],[Community]]/'Primary Energy'!$V$4))</f>
        <v>0.11730821293429654</v>
      </c>
    </row>
    <row r="15" spans="1:22" x14ac:dyDescent="0.35">
      <c r="A15" s="1">
        <v>12</v>
      </c>
      <c r="B15" s="1">
        <f>final_electricity__1619[[#This Row],[ Building 1 (kWh)]]/'Conversion Technologies'!$D$2/'Primary Energy'!$V$4</f>
        <v>1.7371861025111802E-5</v>
      </c>
      <c r="C15" s="1">
        <f>final_electricity__1619[[#This Row],[Building 2 (kWh)]]/'Conversion Technologies'!$D$2/'Primary Energy'!$V$4</f>
        <v>4.7912796697626416E-2</v>
      </c>
      <c r="D15" s="1">
        <f>final_electricity__1619[[#This Row],[Building 3 (kWh)]]/'Conversion Technologies'!$D$2/'Primary Energy'!$V$4</f>
        <v>6.8949776401788787E-2</v>
      </c>
      <c r="E15" s="1">
        <f>final_electricity__1619[[#This Row],[Community]]/'Conversion Technologies'!$D$2/'Primary Energy'!$V$4</f>
        <v>0.11687994496044031</v>
      </c>
      <c r="G15" s="1">
        <v>12</v>
      </c>
      <c r="H15" s="1">
        <f>final_electricity__16192426[[#This Row],[ Building 1 (kWh)]]/'Conversion Technologies'!$D$2/'Primary Energy'!$V$4</f>
        <v>1.7371861025111802E-5</v>
      </c>
      <c r="I15" s="1">
        <f>final_electricity__16192426[[#This Row],[Building 2 (kWh)]]/'Conversion Technologies'!$D$2/'Primary Energy'!$V$4</f>
        <v>4.7912796697626416E-2</v>
      </c>
      <c r="J15" s="1">
        <f>final_electricity__16192426[[#This Row],[Building 3 (kWh)]]/'Conversion Technologies'!$D$2/'Primary Energy'!$V$4</f>
        <v>6.8949776401788787E-2</v>
      </c>
      <c r="K15" s="1">
        <f>final_electricity__16192426[[#This Row],[Community]]/'Conversion Technologies'!$D$2/'Primary Energy'!$V$4</f>
        <v>0.11687994496044031</v>
      </c>
      <c r="M15" s="1">
        <v>12</v>
      </c>
      <c r="N15" s="1">
        <f>ABS(('Services+PV Management'!Q44/'Conversion Technologies'!$D$2/'Primary Energy'!$V$4)+(final_electricity__161924263031[[#This Row],[ Building 1 (kWh)]]/'Primary Energy'!$V$4))</f>
        <v>1.1936704506363931E-6</v>
      </c>
      <c r="O15" s="1">
        <f>ABS(('Services+PV Management'!R44/'Conversion Technologies'!$D$2/'Primary Energy'!$V$4)+(final_electricity__161924263031[[#This Row],[Building 2 (kWh)]]/'Primary Energy'!$V$4))</f>
        <v>4.7751014791881673E-2</v>
      </c>
      <c r="P15" s="1">
        <f>ABS(('Services+PV Management'!S44/'Conversion Technologies'!$D$2/'Primary Energy'!$V$4)+(final_electricity__161924263031[[#This Row],[Building 3 (kWh)]]/'Primary Energy'!$V$4))</f>
        <v>6.8626212590299288E-2</v>
      </c>
      <c r="Q15" s="1">
        <f>ABS(('Services+PV Management'!T44/'Conversion Technologies'!$D$2/'Primary Energy'!$V$4)+(final_electricity__161924263031[[#This Row],[Community]]/'Primary Energy'!$V$4))</f>
        <v>0.11637842105263159</v>
      </c>
    </row>
    <row r="16" spans="1:22" x14ac:dyDescent="0.35">
      <c r="A16" s="1">
        <v>13</v>
      </c>
      <c r="B16" s="1">
        <f>final_electricity__1619[[#This Row],[ Building 1 (kWh)]]/'Conversion Technologies'!$D$2/'Primary Energy'!$V$4</f>
        <v>1.8231854145166839E-5</v>
      </c>
      <c r="C16" s="1">
        <f>final_electricity__1619[[#This Row],[Building 2 (kWh)]]/'Conversion Technologies'!$D$2/'Primary Energy'!$V$4</f>
        <v>5.1327141382868938E-2</v>
      </c>
      <c r="D16" s="1">
        <f>final_electricity__1619[[#This Row],[Building 3 (kWh)]]/'Conversion Technologies'!$D$2/'Primary Energy'!$V$4</f>
        <v>6.4067595459236321E-2</v>
      </c>
      <c r="E16" s="1">
        <f>final_electricity__1619[[#This Row],[Community]]/'Conversion Technologies'!$D$2/'Primary Energy'!$V$4</f>
        <v>0.11541296869625042</v>
      </c>
      <c r="G16" s="1">
        <v>13</v>
      </c>
      <c r="H16" s="1">
        <f>final_electricity__16192426[[#This Row],[ Building 1 (kWh)]]/'Conversion Technologies'!$D$2/'Primary Energy'!$V$4</f>
        <v>1.8231854145166839E-5</v>
      </c>
      <c r="I16" s="1">
        <f>final_electricity__16192426[[#This Row],[Building 2 (kWh)]]/'Conversion Technologies'!$D$2/'Primary Energy'!$V$4</f>
        <v>5.1327141382868938E-2</v>
      </c>
      <c r="J16" s="1">
        <f>final_electricity__16192426[[#This Row],[Building 3 (kWh)]]/'Conversion Technologies'!$D$2/'Primary Energy'!$V$4</f>
        <v>6.4067595459236321E-2</v>
      </c>
      <c r="K16" s="1">
        <f>final_electricity__16192426[[#This Row],[Community]]/'Conversion Technologies'!$D$2/'Primary Energy'!$V$4</f>
        <v>0.11541296869625042</v>
      </c>
      <c r="M16" s="1">
        <v>13</v>
      </c>
      <c r="N16" s="1">
        <f>ABS(('Services+PV Management'!Q45/'Conversion Technologies'!$D$2/'Primary Energy'!$V$4)+(final_electricity__161924263031[[#This Row],[ Building 1 (kWh)]]/'Primary Energy'!$V$4))</f>
        <v>2.1267629858961155E-6</v>
      </c>
      <c r="O16" s="1">
        <f>ABS(('Services+PV Management'!R45/'Conversion Technologies'!$D$2/'Primary Energy'!$V$4)+(final_electricity__161924263031[[#This Row],[Building 2 (kWh)]]/'Primary Energy'!$V$4))</f>
        <v>5.1123555211558307E-2</v>
      </c>
      <c r="P16" s="1">
        <f>ABS(('Services+PV Management'!S45/'Conversion Technologies'!$D$2/'Primary Energy'!$V$4)+(final_electricity__161924263031[[#This Row],[Building 3 (kWh)]]/'Primary Energy'!$V$4))</f>
        <v>6.3660423116615072E-2</v>
      </c>
      <c r="Q16" s="1">
        <f>ABS(('Services+PV Management'!T45/'Conversion Technologies'!$D$2/'Primary Energy'!$V$4)+(final_electricity__161924263031[[#This Row],[Community]]/'Primary Energy'!$V$4))</f>
        <v>0.11478185156518748</v>
      </c>
    </row>
    <row r="17" spans="1:17" x14ac:dyDescent="0.35">
      <c r="A17" s="1">
        <v>14</v>
      </c>
      <c r="B17" s="1">
        <f>final_electricity__1619[[#This Row],[ Building 1 (kWh)]]/'Conversion Technologies'!$D$2/'Primary Energy'!$V$4</f>
        <v>3.0099759201926384E-5</v>
      </c>
      <c r="C17" s="1">
        <f>final_electricity__1619[[#This Row],[Building 2 (kWh)]]/'Conversion Technologies'!$D$2/'Primary Energy'!$V$4</f>
        <v>5.5523735810113516E-2</v>
      </c>
      <c r="D17" s="1">
        <f>final_electricity__1619[[#This Row],[Building 3 (kWh)]]/'Conversion Technologies'!$D$2/'Primary Energy'!$V$4</f>
        <v>6.1512383900928787E-2</v>
      </c>
      <c r="E17" s="1">
        <f>final_electricity__1619[[#This Row],[Community]]/'Conversion Technologies'!$D$2/'Primary Energy'!$V$4</f>
        <v>0.11706621947024425</v>
      </c>
      <c r="G17" s="1">
        <v>14</v>
      </c>
      <c r="H17" s="1">
        <f>final_electricity__16192426[[#This Row],[ Building 1 (kWh)]]/'Conversion Technologies'!$D$2/'Primary Energy'!$V$4</f>
        <v>3.0099759201926384E-5</v>
      </c>
      <c r="I17" s="1">
        <f>final_electricity__16192426[[#This Row],[Building 2 (kWh)]]/'Conversion Technologies'!$D$2/'Primary Energy'!$V$4</f>
        <v>5.5523735810113516E-2</v>
      </c>
      <c r="J17" s="1">
        <f>final_electricity__16192426[[#This Row],[Building 3 (kWh)]]/'Conversion Technologies'!$D$2/'Primary Energy'!$V$4</f>
        <v>6.1512383900928787E-2</v>
      </c>
      <c r="K17" s="1">
        <f>final_electricity__16192426[[#This Row],[Community]]/'Conversion Technologies'!$D$2/'Primary Energy'!$V$4</f>
        <v>0.11706621947024425</v>
      </c>
      <c r="M17" s="1">
        <v>14</v>
      </c>
      <c r="N17" s="1">
        <f>ABS(('Services+PV Management'!Q46/'Conversion Technologies'!$D$2/'Primary Energy'!$V$4)+(final_electricity__161924263031[[#This Row],[ Building 1 (kWh)]]/'Primary Energy'!$V$4))</f>
        <v>1.3212074303405571E-5</v>
      </c>
      <c r="O17" s="1">
        <f>ABS(('Services+PV Management'!R46/'Conversion Technologies'!$D$2/'Primary Energy'!$V$4)+(final_electricity__161924263031[[#This Row],[Building 2 (kWh)]]/'Primary Energy'!$V$4))</f>
        <v>5.5354858961128309E-2</v>
      </c>
      <c r="P17" s="1">
        <f>ABS(('Services+PV Management'!S46/'Conversion Technologies'!$D$2/'Primary Energy'!$V$4)+(final_electricity__161924263031[[#This Row],[Building 3 (kWh)]]/'Primary Energy'!$V$4))</f>
        <v>6.1174630202958373E-2</v>
      </c>
      <c r="Q17" s="1">
        <f>ABS(('Services+PV Management'!T46/'Conversion Technologies'!$D$2/'Primary Energy'!$V$4)+(final_electricity__161924263031[[#This Row],[Community]]/'Primary Energy'!$V$4))</f>
        <v>0.1165427012383901</v>
      </c>
    </row>
    <row r="18" spans="1:17" x14ac:dyDescent="0.35">
      <c r="A18" s="1">
        <v>15</v>
      </c>
      <c r="B18" s="1">
        <f>final_electricity__1619[[#This Row],[ Building 1 (kWh)]]/'Conversion Technologies'!$D$2/'Primary Energy'!$V$4</f>
        <v>3.9903680770553835E-5</v>
      </c>
      <c r="C18" s="1">
        <f>final_electricity__1619[[#This Row],[Building 2 (kWh)]]/'Conversion Technologies'!$D$2/'Primary Energy'!$V$4</f>
        <v>5.604041967664259E-2</v>
      </c>
      <c r="D18" s="1">
        <f>final_electricity__1619[[#This Row],[Building 3 (kWh)]]/'Conversion Technologies'!$D$2/'Primary Energy'!$V$4</f>
        <v>6.3157550739594073E-2</v>
      </c>
      <c r="E18" s="1">
        <f>final_electricity__1619[[#This Row],[Community]]/'Conversion Technologies'!$D$2/'Primary Energy'!$V$4</f>
        <v>0.11923787409700723</v>
      </c>
      <c r="G18" s="1">
        <v>15</v>
      </c>
      <c r="H18" s="1">
        <f>final_electricity__16192426[[#This Row],[ Building 1 (kWh)]]/'Conversion Technologies'!$D$2/'Primary Energy'!$V$4</f>
        <v>3.9903680770553835E-5</v>
      </c>
      <c r="I18" s="1">
        <f>final_electricity__16192426[[#This Row],[Building 2 (kWh)]]/'Conversion Technologies'!$D$2/'Primary Energy'!$V$4</f>
        <v>5.604041967664259E-2</v>
      </c>
      <c r="J18" s="1">
        <f>final_electricity__16192426[[#This Row],[Building 3 (kWh)]]/'Conversion Technologies'!$D$2/'Primary Energy'!$V$4</f>
        <v>6.3157550739594073E-2</v>
      </c>
      <c r="K18" s="1">
        <f>final_electricity__16192426[[#This Row],[Community]]/'Conversion Technologies'!$D$2/'Primary Energy'!$V$4</f>
        <v>0.11923787409700723</v>
      </c>
      <c r="M18" s="1">
        <v>15</v>
      </c>
      <c r="N18" s="1">
        <f>ABS(('Services+PV Management'!Q47/'Conversion Technologies'!$D$2/'Primary Energy'!$V$4)+(final_electricity__161924263031[[#This Row],[ Building 1 (kWh)]]/'Primary Energy'!$V$4))</f>
        <v>2.2734778121775028E-5</v>
      </c>
      <c r="O18" s="1">
        <f>ABS(('Services+PV Management'!R47/'Conversion Technologies'!$D$2/'Primary Energy'!$V$4)+(final_electricity__161924263031[[#This Row],[Building 2 (kWh)]]/'Primary Energy'!$V$4))</f>
        <v>5.5868730650154803E-2</v>
      </c>
      <c r="P18" s="1">
        <f>ABS(('Services+PV Management'!S47/'Conversion Technologies'!$D$2/'Primary Energy'!$V$4)+(final_electricity__161924263031[[#This Row],[Building 3 (kWh)]]/'Primary Energy'!$V$4))</f>
        <v>6.28141726866185E-2</v>
      </c>
      <c r="Q18" s="1">
        <f>ABS(('Services+PV Management'!T47/'Conversion Technologies'!$D$2/'Primary Energy'!$V$4)+(final_electricity__161924263031[[#This Row],[Community]]/'Primary Energy'!$V$4))</f>
        <v>0.11870563811489508</v>
      </c>
    </row>
    <row r="19" spans="1:17" x14ac:dyDescent="0.35">
      <c r="A19" s="1">
        <v>16</v>
      </c>
      <c r="B19" s="1">
        <f>final_electricity__1619[[#This Row],[ Building 1 (kWh)]]/'Conversion Technologies'!$D$2/'Primary Energy'!$V$4</f>
        <v>2.7691778465772275E-5</v>
      </c>
      <c r="C19" s="1">
        <f>final_electricity__1619[[#This Row],[Building 2 (kWh)]]/'Conversion Technologies'!$D$2/'Primary Energy'!$V$4</f>
        <v>5.2621431028551768E-2</v>
      </c>
      <c r="D19" s="1">
        <f>final_electricity__1619[[#This Row],[Building 3 (kWh)]]/'Conversion Technologies'!$D$2/'Primary Energy'!$V$4</f>
        <v>6.1369109047127626E-2</v>
      </c>
      <c r="E19" s="1">
        <f>final_electricity__1619[[#This Row],[Community]]/'Conversion Technologies'!$D$2/'Primary Energy'!$V$4</f>
        <v>0.11401823185414517</v>
      </c>
      <c r="G19" s="1">
        <v>16</v>
      </c>
      <c r="H19" s="1">
        <f>final_electricity__16192426[[#This Row],[ Building 1 (kWh)]]/'Conversion Technologies'!$D$2/'Primary Energy'!$V$4</f>
        <v>2.7691778465772275E-5</v>
      </c>
      <c r="I19" s="1">
        <f>final_electricity__16192426[[#This Row],[Building 2 (kWh)]]/'Conversion Technologies'!$D$2/'Primary Energy'!$V$4</f>
        <v>5.2621431028551768E-2</v>
      </c>
      <c r="J19" s="1">
        <f>final_electricity__16192426[[#This Row],[Building 3 (kWh)]]/'Conversion Technologies'!$D$2/'Primary Energy'!$V$4</f>
        <v>6.1369109047127626E-2</v>
      </c>
      <c r="K19" s="1">
        <f>final_electricity__16192426[[#This Row],[Community]]/'Conversion Technologies'!$D$2/'Primary Energy'!$V$4</f>
        <v>0.11401823185414517</v>
      </c>
      <c r="M19" s="1">
        <v>16</v>
      </c>
      <c r="N19" s="1">
        <f>ABS(('Services+PV Management'!Q48/'Conversion Technologies'!$D$2/'Primary Energy'!$V$4)+(final_electricity__161924263031[[#This Row],[ Building 1 (kWh)]]/'Primary Energy'!$V$4))</f>
        <v>1.2063123495012041E-5</v>
      </c>
      <c r="O19" s="1">
        <f>ABS(('Services+PV Management'!R48/'Conversion Technologies'!$D$2/'Primary Energy'!$V$4)+(final_electricity__161924263031[[#This Row],[Building 2 (kWh)]]/'Primary Energy'!$V$4))</f>
        <v>5.2465144478844171E-2</v>
      </c>
      <c r="P19" s="1">
        <f>ABS(('Services+PV Management'!S48/'Conversion Technologies'!$D$2/'Primary Energy'!$V$4)+(final_electricity__161924263031[[#This Row],[Building 3 (kWh)]]/'Primary Energy'!$V$4))</f>
        <v>6.1056535947712424E-2</v>
      </c>
      <c r="Q19" s="1">
        <f>ABS(('Services+PV Management'!T48/'Conversion Technologies'!$D$2/'Primary Energy'!$V$4)+(final_electricity__161924263031[[#This Row],[Community]]/'Primary Energy'!$V$4))</f>
        <v>0.11353374355005159</v>
      </c>
    </row>
    <row r="20" spans="1:17" x14ac:dyDescent="0.35">
      <c r="A20" s="1">
        <v>17</v>
      </c>
      <c r="B20" s="1">
        <f>final_electricity__1619[[#This Row],[ Building 1 (kWh)]]/'Conversion Technologies'!$D$2/'Primary Energy'!$V$4</f>
        <v>4.9363605091159268E-5</v>
      </c>
      <c r="C20" s="1">
        <f>final_electricity__1619[[#This Row],[Building 2 (kWh)]]/'Conversion Technologies'!$D$2/'Primary Energy'!$V$4</f>
        <v>4.6793601651186789E-2</v>
      </c>
      <c r="D20" s="1">
        <f>final_electricity__1619[[#This Row],[Building 3 (kWh)]]/'Conversion Technologies'!$D$2/'Primary Energy'!$V$4</f>
        <v>5.6864121087031302E-2</v>
      </c>
      <c r="E20" s="1">
        <f>final_electricity__1619[[#This Row],[Community]]/'Conversion Technologies'!$D$2/'Primary Energy'!$V$4</f>
        <v>0.10370708634330925</v>
      </c>
      <c r="G20" s="1">
        <v>17</v>
      </c>
      <c r="H20" s="1">
        <f>final_electricity__16192426[[#This Row],[ Building 1 (kWh)]]/'Conversion Technologies'!$D$2/'Primary Energy'!$V$4</f>
        <v>4.9363605091159268E-5</v>
      </c>
      <c r="I20" s="1">
        <f>final_electricity__16192426[[#This Row],[Building 2 (kWh)]]/'Conversion Technologies'!$D$2/'Primary Energy'!$V$4</f>
        <v>4.6793601651186789E-2</v>
      </c>
      <c r="J20" s="1">
        <f>final_electricity__16192426[[#This Row],[Building 3 (kWh)]]/'Conversion Technologies'!$D$2/'Primary Energy'!$V$4</f>
        <v>5.6864121087031302E-2</v>
      </c>
      <c r="K20" s="1">
        <f>final_electricity__16192426[[#This Row],[Community]]/'Conversion Technologies'!$D$2/'Primary Energy'!$V$4</f>
        <v>0.10370708634330925</v>
      </c>
      <c r="M20" s="1">
        <v>17</v>
      </c>
      <c r="N20" s="1">
        <f>ABS(('Services+PV Management'!Q49/'Conversion Technologies'!$D$2/'Primary Energy'!$V$4)+(final_electricity__161924263031[[#This Row],[ Building 1 (kWh)]]/'Primary Energy'!$V$4))</f>
        <v>3.4023907808737521E-5</v>
      </c>
      <c r="O20" s="1">
        <f>ABS(('Services+PV Management'!R49/'Conversion Technologies'!$D$2/'Primary Energy'!$V$4)+(final_electricity__161924263031[[#This Row],[Building 2 (kWh)]]/'Primary Energy'!$V$4))</f>
        <v>4.6640204678362572E-2</v>
      </c>
      <c r="P20" s="1">
        <f>ABS(('Services+PV Management'!S49/'Conversion Technologies'!$D$2/'Primary Energy'!$V$4)+(final_electricity__161924263031[[#This Row],[Building 3 (kWh)]]/'Primary Energy'!$V$4))</f>
        <v>5.6557327141382868E-2</v>
      </c>
      <c r="Q20" s="1">
        <f>ABS(('Services+PV Management'!T49/'Conversion Technologies'!$D$2/'Primary Energy'!$V$4)+(final_electricity__161924263031[[#This Row],[Community]]/'Primary Energy'!$V$4))</f>
        <v>0.10323155572755419</v>
      </c>
    </row>
    <row r="21" spans="1:17" x14ac:dyDescent="0.35">
      <c r="A21" s="1">
        <v>18</v>
      </c>
      <c r="B21" s="1">
        <f>final_electricity__1619[[#This Row],[ Building 1 (kWh)]]/'Conversion Technologies'!$D$2/'Primary Energy'!$V$4</f>
        <v>5.1943584451324387E-5</v>
      </c>
      <c r="C21" s="1">
        <f>final_electricity__1619[[#This Row],[Building 2 (kWh)]]/'Conversion Technologies'!$D$2/'Primary Energy'!$V$4</f>
        <v>3.8770381836945304E-2</v>
      </c>
      <c r="D21" s="1">
        <f>final_electricity__1619[[#This Row],[Building 3 (kWh)]]/'Conversion Technologies'!$D$2/'Primary Energy'!$V$4</f>
        <v>4.8606123151014792E-2</v>
      </c>
      <c r="E21" s="1">
        <f>final_electricity__1619[[#This Row],[Community]]/'Conversion Technologies'!$D$2/'Primary Energy'!$V$4</f>
        <v>8.7428448572411416E-2</v>
      </c>
      <c r="G21" s="1">
        <v>18</v>
      </c>
      <c r="H21" s="1">
        <f>final_electricity__16192426[[#This Row],[ Building 1 (kWh)]]/'Conversion Technologies'!$D$2/'Primary Energy'!$V$4</f>
        <v>5.1943584451324387E-5</v>
      </c>
      <c r="I21" s="1">
        <f>final_electricity__16192426[[#This Row],[Building 2 (kWh)]]/'Conversion Technologies'!$D$2/'Primary Energy'!$V$4</f>
        <v>3.8770381836945304E-2</v>
      </c>
      <c r="J21" s="1">
        <f>final_electricity__16192426[[#This Row],[Building 3 (kWh)]]/'Conversion Technologies'!$D$2/'Primary Energy'!$V$4</f>
        <v>4.8606123151014792E-2</v>
      </c>
      <c r="K21" s="1">
        <f>final_electricity__16192426[[#This Row],[Community]]/'Conversion Technologies'!$D$2/'Primary Energy'!$V$4</f>
        <v>8.7428448572411416E-2</v>
      </c>
      <c r="M21" s="1">
        <v>18</v>
      </c>
      <c r="N21" s="1">
        <f>ABS(('Services+PV Management'!Q50/'Conversion Technologies'!$D$2/'Primary Energy'!$V$4)+(final_electricity__161924263031[[#This Row],[ Building 1 (kWh)]]/'Primary Energy'!$V$4))</f>
        <v>3.8862229102167177E-5</v>
      </c>
      <c r="O21" s="1">
        <f>ABS(('Services+PV Management'!R50/'Conversion Technologies'!$D$2/'Primary Energy'!$V$4)+(final_electricity__161924263031[[#This Row],[Building 2 (kWh)]]/'Primary Energy'!$V$4))</f>
        <v>3.8639568283453732E-2</v>
      </c>
      <c r="P21" s="1">
        <f>ABS(('Services+PV Management'!S50/'Conversion Technologies'!$D$2/'Primary Energy'!$V$4)+(final_electricity__161924263031[[#This Row],[Building 3 (kWh)]]/'Primary Energy'!$V$4))</f>
        <v>4.8344496044031654E-2</v>
      </c>
      <c r="Q21" s="1">
        <f>ABS(('Services+PV Management'!T50/'Conversion Technologies'!$D$2/'Primary Energy'!$V$4)+(final_electricity__161924263031[[#This Row],[Community]]/'Primary Energy'!$V$4))</f>
        <v>8.7022926556587554E-2</v>
      </c>
    </row>
    <row r="22" spans="1:17" x14ac:dyDescent="0.35">
      <c r="A22" s="1">
        <v>19</v>
      </c>
      <c r="B22" s="1">
        <f>final_electricity__1619[[#This Row],[ Building 1 (kWh)]]/'Conversion Technologies'!$D$2/'Primary Energy'!$V$4</f>
        <v>2.6487788097695219E-5</v>
      </c>
      <c r="C22" s="1">
        <f>final_electricity__1619[[#This Row],[Building 2 (kWh)]]/'Conversion Technologies'!$D$2/'Primary Energy'!$V$4</f>
        <v>3.4464224286205714E-2</v>
      </c>
      <c r="D22" s="1">
        <f>final_electricity__1619[[#This Row],[Building 3 (kWh)]]/'Conversion Technologies'!$D$2/'Primary Energy'!$V$4</f>
        <v>3.7849501203990367E-2</v>
      </c>
      <c r="E22" s="1">
        <f>final_electricity__1619[[#This Row],[Community]]/'Conversion Technologies'!$D$2/'Primary Energy'!$V$4</f>
        <v>7.2340213278293777E-2</v>
      </c>
      <c r="G22" s="1">
        <v>19</v>
      </c>
      <c r="H22" s="1">
        <f>final_electricity__16192426[[#This Row],[ Building 1 (kWh)]]/'Conversion Technologies'!$D$2/'Primary Energy'!$V$4</f>
        <v>2.6487788097695219E-5</v>
      </c>
      <c r="I22" s="1">
        <f>final_electricity__16192426[[#This Row],[Building 2 (kWh)]]/'Conversion Technologies'!$D$2/'Primary Energy'!$V$4</f>
        <v>3.4464224286205714E-2</v>
      </c>
      <c r="J22" s="1">
        <f>final_electricity__16192426[[#This Row],[Building 3 (kWh)]]/'Conversion Technologies'!$D$2/'Primary Energy'!$V$4</f>
        <v>3.7849501203990367E-2</v>
      </c>
      <c r="K22" s="1">
        <f>final_electricity__16192426[[#This Row],[Community]]/'Conversion Technologies'!$D$2/'Primary Energy'!$V$4</f>
        <v>7.2340213278293777E-2</v>
      </c>
      <c r="M22" s="1">
        <v>19</v>
      </c>
      <c r="N22" s="1">
        <f>ABS(('Services+PV Management'!Q51/'Conversion Technologies'!$D$2/'Primary Energy'!$V$4)+(final_electricity__161924263031[[#This Row],[ Building 1 (kWh)]]/'Primary Energy'!$V$4))</f>
        <v>2.6487788097695219E-5</v>
      </c>
      <c r="O22" s="1">
        <f>ABS(('Services+PV Management'!R51/'Conversion Technologies'!$D$2/'Primary Energy'!$V$4)+(final_electricity__161924263031[[#This Row],[Building 2 (kWh)]]/'Primary Energy'!$V$4))</f>
        <v>3.4464224286205714E-2</v>
      </c>
      <c r="P22" s="1">
        <f>ABS(('Services+PV Management'!S51/'Conversion Technologies'!$D$2/'Primary Energy'!$V$4)+(final_electricity__161924263031[[#This Row],[Building 3 (kWh)]]/'Primary Energy'!$V$4))</f>
        <v>3.7849501203990367E-2</v>
      </c>
      <c r="Q22" s="1">
        <f>ABS(('Services+PV Management'!T51/'Conversion Technologies'!$D$2/'Primary Energy'!$V$4)+(final_electricity__161924263031[[#This Row],[Community]]/'Primary Energy'!$V$4))</f>
        <v>7.2340213278293777E-2</v>
      </c>
    </row>
    <row r="23" spans="1:17" x14ac:dyDescent="0.35">
      <c r="A23" s="1">
        <v>20</v>
      </c>
      <c r="B23" s="1">
        <f>final_electricity__1619[[#This Row],[ Building 1 (kWh)]]/'Conversion Technologies'!$D$2/'Primary Energy'!$V$4</f>
        <v>1.1231510147918817E-4</v>
      </c>
      <c r="C23" s="1">
        <f>final_electricity__1619[[#This Row],[Building 2 (kWh)]]/'Conversion Technologies'!$D$2/'Primary Energy'!$V$4</f>
        <v>2.8204334365325077E-2</v>
      </c>
      <c r="D23" s="1">
        <f>final_electricity__1619[[#This Row],[Building 3 (kWh)]]/'Conversion Technologies'!$D$2/'Primary Energy'!$V$4</f>
        <v>3.0738734090127281E-2</v>
      </c>
      <c r="E23" s="1">
        <f>final_electricity__1619[[#This Row],[Community]]/'Conversion Technologies'!$D$2/'Primary Energy'!$V$4</f>
        <v>5.9055383556931539E-2</v>
      </c>
      <c r="G23" s="1">
        <v>20</v>
      </c>
      <c r="H23" s="1">
        <f>final_electricity__16192426[[#This Row],[ Building 1 (kWh)]]/'Conversion Technologies'!$D$2/'Primary Energy'!$V$4</f>
        <v>1.1231510147918817E-4</v>
      </c>
      <c r="I23" s="1">
        <f>final_electricity__16192426[[#This Row],[Building 2 (kWh)]]/'Conversion Technologies'!$D$2/'Primary Energy'!$V$4</f>
        <v>2.8204334365325077E-2</v>
      </c>
      <c r="J23" s="1">
        <f>final_electricity__16192426[[#This Row],[Building 3 (kWh)]]/'Conversion Technologies'!$D$2/'Primary Energy'!$V$4</f>
        <v>3.0738734090127281E-2</v>
      </c>
      <c r="K23" s="1">
        <f>final_electricity__16192426[[#This Row],[Community]]/'Conversion Technologies'!$D$2/'Primary Energy'!$V$4</f>
        <v>5.9055383556931539E-2</v>
      </c>
      <c r="M23" s="1">
        <v>20</v>
      </c>
      <c r="N23" s="1">
        <f>ABS(('Services+PV Management'!Q52/'Conversion Technologies'!$D$2/'Primary Energy'!$V$4)+(final_electricity__161924263031[[#This Row],[ Building 1 (kWh)]]/'Primary Energy'!$V$4))</f>
        <v>1.1231510147918817E-4</v>
      </c>
      <c r="O23" s="1">
        <f>ABS(('Services+PV Management'!R52/'Conversion Technologies'!$D$2/'Primary Energy'!$V$4)+(final_electricity__161924263031[[#This Row],[Building 2 (kWh)]]/'Primary Energy'!$V$4))</f>
        <v>2.8204334365325077E-2</v>
      </c>
      <c r="P23" s="1">
        <f>ABS(('Services+PV Management'!S52/'Conversion Technologies'!$D$2/'Primary Energy'!$V$4)+(final_electricity__161924263031[[#This Row],[Building 3 (kWh)]]/'Primary Energy'!$V$4))</f>
        <v>3.0738734090127281E-2</v>
      </c>
      <c r="Q23" s="1">
        <f>ABS(('Services+PV Management'!T52/'Conversion Technologies'!$D$2/'Primary Energy'!$V$4)+(final_electricity__161924263031[[#This Row],[Community]]/'Primary Energy'!$V$4))</f>
        <v>5.9055383556931539E-2</v>
      </c>
    </row>
    <row r="24" spans="1:17" x14ac:dyDescent="0.35">
      <c r="A24" s="1">
        <v>21</v>
      </c>
      <c r="B24" s="1">
        <f>final_electricity__1619[[#This Row],[ Building 1 (kWh)]]/'Conversion Technologies'!$D$2/'Primary Energy'!$V$4</f>
        <v>2.8603371173030614E-4</v>
      </c>
      <c r="C24" s="1">
        <f>final_electricity__1619[[#This Row],[Building 2 (kWh)]]/'Conversion Technologies'!$D$2/'Primary Energy'!$V$4</f>
        <v>2.5589095287237702E-2</v>
      </c>
      <c r="D24" s="1">
        <f>final_electricity__1619[[#This Row],[Building 3 (kWh)]]/'Conversion Technologies'!$D$2/'Primary Energy'!$V$4</f>
        <v>2.6373065015479875E-2</v>
      </c>
      <c r="E24" s="1">
        <f>final_electricity__1619[[#This Row],[Community]]/'Conversion Technologies'!$D$2/'Primary Energy'!$V$4</f>
        <v>5.2248194014447885E-2</v>
      </c>
      <c r="G24" s="1">
        <v>21</v>
      </c>
      <c r="H24" s="1">
        <f>final_electricity__16192426[[#This Row],[ Building 1 (kWh)]]/'Conversion Technologies'!$D$2/'Primary Energy'!$V$4</f>
        <v>2.8603371173030614E-4</v>
      </c>
      <c r="I24" s="1">
        <f>final_electricity__16192426[[#This Row],[Building 2 (kWh)]]/'Conversion Technologies'!$D$2/'Primary Energy'!$V$4</f>
        <v>2.5589095287237702E-2</v>
      </c>
      <c r="J24" s="1">
        <f>final_electricity__16192426[[#This Row],[Building 3 (kWh)]]/'Conversion Technologies'!$D$2/'Primary Energy'!$V$4</f>
        <v>2.6373065015479875E-2</v>
      </c>
      <c r="K24" s="1">
        <f>final_electricity__16192426[[#This Row],[Community]]/'Conversion Technologies'!$D$2/'Primary Energy'!$V$4</f>
        <v>5.2248194014447885E-2</v>
      </c>
      <c r="M24" s="1">
        <v>21</v>
      </c>
      <c r="N24" s="1">
        <f>ABS(('Services+PV Management'!Q53/'Conversion Technologies'!$D$2/'Primary Energy'!$V$4)+(final_electricity__161924263031[[#This Row],[ Building 1 (kWh)]]/'Primary Energy'!$V$4))</f>
        <v>2.8603371173030614E-4</v>
      </c>
      <c r="O24" s="1">
        <f>ABS(('Services+PV Management'!R53/'Conversion Technologies'!$D$2/'Primary Energy'!$V$4)+(final_electricity__161924263031[[#This Row],[Building 2 (kWh)]]/'Primary Energy'!$V$4))</f>
        <v>2.5589095287237702E-2</v>
      </c>
      <c r="P24" s="1">
        <f>ABS(('Services+PV Management'!S53/'Conversion Technologies'!$D$2/'Primary Energy'!$V$4)+(final_electricity__161924263031[[#This Row],[Building 3 (kWh)]]/'Primary Energy'!$V$4))</f>
        <v>2.6373065015479875E-2</v>
      </c>
      <c r="Q24" s="1">
        <f>ABS(('Services+PV Management'!T53/'Conversion Technologies'!$D$2/'Primary Energy'!$V$4)+(final_electricity__161924263031[[#This Row],[Community]]/'Primary Energy'!$V$4))</f>
        <v>5.2248194014447885E-2</v>
      </c>
    </row>
    <row r="25" spans="1:17" x14ac:dyDescent="0.35">
      <c r="A25" s="1">
        <v>22</v>
      </c>
      <c r="B25" s="1">
        <f>final_electricity__1619[[#This Row],[ Building 1 (kWh)]]/'Conversion Technologies'!$D$2/'Primary Energy'!$V$4</f>
        <v>1.2985896112831097E-4</v>
      </c>
      <c r="C25" s="1">
        <f>final_electricity__1619[[#This Row],[Building 2 (kWh)]]/'Conversion Technologies'!$D$2/'Primary Energy'!$V$4</f>
        <v>2.2083419332645338E-2</v>
      </c>
      <c r="D25" s="1">
        <f>final_electricity__1619[[#This Row],[Building 3 (kWh)]]/'Conversion Technologies'!$D$2/'Primary Energy'!$V$4</f>
        <v>2.385208118335053E-2</v>
      </c>
      <c r="E25" s="1">
        <f>final_electricity__1619[[#This Row],[Community]]/'Conversion Technologies'!$D$2/'Primary Energy'!$V$4</f>
        <v>4.6065359477124174E-2</v>
      </c>
      <c r="G25" s="1">
        <v>22</v>
      </c>
      <c r="H25" s="1">
        <f>final_electricity__16192426[[#This Row],[ Building 1 (kWh)]]/'Conversion Technologies'!$D$2/'Primary Energy'!$V$4</f>
        <v>1.2985896112831097E-4</v>
      </c>
      <c r="I25" s="1">
        <f>final_electricity__16192426[[#This Row],[Building 2 (kWh)]]/'Conversion Technologies'!$D$2/'Primary Energy'!$V$4</f>
        <v>2.2083419332645338E-2</v>
      </c>
      <c r="J25" s="1">
        <f>final_electricity__16192426[[#This Row],[Building 3 (kWh)]]/'Conversion Technologies'!$D$2/'Primary Energy'!$V$4</f>
        <v>2.385208118335053E-2</v>
      </c>
      <c r="K25" s="1">
        <f>final_electricity__16192426[[#This Row],[Community]]/'Conversion Technologies'!$D$2/'Primary Energy'!$V$4</f>
        <v>4.6065359477124174E-2</v>
      </c>
      <c r="M25" s="1">
        <v>22</v>
      </c>
      <c r="N25" s="1">
        <f>ABS(('Services+PV Management'!Q54/'Conversion Technologies'!$D$2/'Primary Energy'!$V$4)+(final_electricity__161924263031[[#This Row],[ Building 1 (kWh)]]/'Primary Energy'!$V$4))</f>
        <v>1.2985896112831097E-4</v>
      </c>
      <c r="O25" s="1">
        <f>ABS(('Services+PV Management'!R54/'Conversion Technologies'!$D$2/'Primary Energy'!$V$4)+(final_electricity__161924263031[[#This Row],[Building 2 (kWh)]]/'Primary Energy'!$V$4))</f>
        <v>2.2083419332645338E-2</v>
      </c>
      <c r="P25" s="1">
        <f>ABS(('Services+PV Management'!S54/'Conversion Technologies'!$D$2/'Primary Energy'!$V$4)+(final_electricity__161924263031[[#This Row],[Building 3 (kWh)]]/'Primary Energy'!$V$4))</f>
        <v>2.385208118335053E-2</v>
      </c>
      <c r="Q25" s="1">
        <f>ABS(('Services+PV Management'!T54/'Conversion Technologies'!$D$2/'Primary Energy'!$V$4)+(final_electricity__161924263031[[#This Row],[Community]]/'Primary Energy'!$V$4))</f>
        <v>4.6065359477124174E-2</v>
      </c>
    </row>
    <row r="26" spans="1:17" x14ac:dyDescent="0.35">
      <c r="A26" s="1">
        <v>23</v>
      </c>
      <c r="B26" s="1">
        <f>final_electricity__1619[[#This Row],[ Building 1 (kWh)]]/'Conversion Technologies'!$D$2/'Primary Energy'!$V$4</f>
        <v>7.636738906088752E-5</v>
      </c>
      <c r="C26" s="1">
        <f>final_electricity__1619[[#This Row],[Building 2 (kWh)]]/'Conversion Technologies'!$D$2/'Primary Energy'!$V$4</f>
        <v>2.0963708290333678E-2</v>
      </c>
      <c r="D26" s="1">
        <f>final_electricity__1619[[#This Row],[Building 3 (kWh)]]/'Conversion Technologies'!$D$2/'Primary Energy'!$V$4</f>
        <v>2.3266597867217062E-2</v>
      </c>
      <c r="E26" s="1">
        <f>final_electricity__1619[[#This Row],[Community]]/'Conversion Technologies'!$D$2/'Primary Energy'!$V$4</f>
        <v>4.4306673546611629E-2</v>
      </c>
      <c r="G26" s="1">
        <v>23</v>
      </c>
      <c r="H26" s="1">
        <f>final_electricity__16192426[[#This Row],[ Building 1 (kWh)]]/'Conversion Technologies'!$D$2/'Primary Energy'!$V$4</f>
        <v>7.636738906088752E-5</v>
      </c>
      <c r="I26" s="1">
        <f>final_electricity__16192426[[#This Row],[Building 2 (kWh)]]/'Conversion Technologies'!$D$2/'Primary Energy'!$V$4</f>
        <v>2.0963708290333678E-2</v>
      </c>
      <c r="J26" s="1">
        <f>final_electricity__16192426[[#This Row],[Building 3 (kWh)]]/'Conversion Technologies'!$D$2/'Primary Energy'!$V$4</f>
        <v>2.3266597867217062E-2</v>
      </c>
      <c r="K26" s="1">
        <f>final_electricity__16192426[[#This Row],[Community]]/'Conversion Technologies'!$D$2/'Primary Energy'!$V$4</f>
        <v>4.4306673546611629E-2</v>
      </c>
      <c r="M26" s="1">
        <v>23</v>
      </c>
      <c r="N26" s="1">
        <f>ABS(('Services+PV Management'!Q55/'Conversion Technologies'!$D$2/'Primary Energy'!$V$4)+(final_electricity__161924263031[[#This Row],[ Building 1 (kWh)]]/'Primary Energy'!$V$4))</f>
        <v>7.636738906088752E-5</v>
      </c>
      <c r="O26" s="1">
        <f>ABS(('Services+PV Management'!R55/'Conversion Technologies'!$D$2/'Primary Energy'!$V$4)+(final_electricity__161924263031[[#This Row],[Building 2 (kWh)]]/'Primary Energy'!$V$4))</f>
        <v>2.0963708290333678E-2</v>
      </c>
      <c r="P26" s="1">
        <f>ABS(('Services+PV Management'!S55/'Conversion Technologies'!$D$2/'Primary Energy'!$V$4)+(final_electricity__161924263031[[#This Row],[Building 3 (kWh)]]/'Primary Energy'!$V$4))</f>
        <v>2.3266597867217062E-2</v>
      </c>
      <c r="Q26" s="1">
        <f>ABS(('Services+PV Management'!T55/'Conversion Technologies'!$D$2/'Primary Energy'!$V$4)+(final_electricity__161924263031[[#This Row],[Community]]/'Primary Energy'!$V$4))</f>
        <v>4.4306673546611629E-2</v>
      </c>
    </row>
    <row r="27" spans="1:17" x14ac:dyDescent="0.35">
      <c r="A27" s="26" t="s">
        <v>165</v>
      </c>
      <c r="B27" s="26">
        <f>SUM(B3:B26)</f>
        <v>1.347953216374269E-3</v>
      </c>
      <c r="C27" s="26">
        <f t="shared" ref="C27:E27" si="0">SUM(C3:C26)</f>
        <v>0.83576350189198501</v>
      </c>
      <c r="D27" s="26">
        <f t="shared" si="0"/>
        <v>0.97840890952872384</v>
      </c>
      <c r="E27" s="26">
        <f t="shared" si="0"/>
        <v>1.815520364637083</v>
      </c>
      <c r="G27" s="26" t="s">
        <v>165</v>
      </c>
      <c r="H27" s="26">
        <f>SUM(H3:H26)</f>
        <v>4.4285038907891068E-3</v>
      </c>
      <c r="I27" s="26">
        <f t="shared" ref="I27" si="1">SUM(I3:I26)</f>
        <v>0.83576350189198501</v>
      </c>
      <c r="J27" s="26">
        <f t="shared" ref="J27" si="2">SUM(J3:J26)</f>
        <v>0.97840890952872384</v>
      </c>
      <c r="K27" s="26">
        <f t="shared" ref="K27" si="3">SUM(K3:K26)</f>
        <v>1.8186009153114977</v>
      </c>
      <c r="M27" s="26" t="s">
        <v>165</v>
      </c>
      <c r="N27" s="26">
        <f>SUM(N3:N26)</f>
        <v>4.2935236706308682E-3</v>
      </c>
      <c r="O27" s="26">
        <f t="shared" ref="O27" si="4">SUM(O3:O26)</f>
        <v>0.83437116443068471</v>
      </c>
      <c r="P27" s="26">
        <f t="shared" ref="P27" si="5">SUM(P3:P26)</f>
        <v>0.97562423460612313</v>
      </c>
      <c r="Q27" s="26">
        <f t="shared" ref="Q27" si="6">SUM(Q3:Q26)</f>
        <v>1.8142846691814667</v>
      </c>
    </row>
  </sheetData>
  <mergeCells count="3">
    <mergeCell ref="A1:E1"/>
    <mergeCell ref="G1:K1"/>
    <mergeCell ref="M1:Q1"/>
  </mergeCells>
  <pageMargins left="0.7" right="0.7" top="0.75" bottom="0.75" header="0.3" footer="0.3"/>
  <ignoredErrors>
    <ignoredError sqref="E3 E27 E4:E26 K3:K27 Q27 Q3:Q26" calculatedColumn="1"/>
  </ignoredErrors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AD21B-9F04-4C58-AF4C-B0B8987EC827}">
  <sheetPr codeName="Sheet6"/>
  <dimension ref="A1:Q27"/>
  <sheetViews>
    <sheetView zoomScale="60" zoomScaleNormal="60" workbookViewId="0">
      <selection activeCell="L31" sqref="L31"/>
    </sheetView>
  </sheetViews>
  <sheetFormatPr defaultRowHeight="14.5" x14ac:dyDescent="0.35"/>
  <cols>
    <col min="1" max="1" width="14" customWidth="1"/>
    <col min="2" max="2" width="17.81640625" customWidth="1"/>
    <col min="3" max="3" width="18.08984375" customWidth="1"/>
    <col min="4" max="4" width="22.6328125" customWidth="1"/>
    <col min="5" max="5" width="16.90625" customWidth="1"/>
    <col min="7" max="7" width="13.26953125" customWidth="1"/>
    <col min="8" max="8" width="21.26953125" customWidth="1"/>
    <col min="9" max="9" width="19.90625" customWidth="1"/>
    <col min="10" max="10" width="27.90625" customWidth="1"/>
    <col min="11" max="11" width="34.81640625" customWidth="1"/>
    <col min="13" max="13" width="10.54296875" customWidth="1"/>
    <col min="14" max="14" width="21" customWidth="1"/>
    <col min="15" max="15" width="19.453125" customWidth="1"/>
    <col min="16" max="16" width="18.7265625" customWidth="1"/>
    <col min="17" max="17" width="17.1796875" customWidth="1"/>
  </cols>
  <sheetData>
    <row r="1" spans="1:17" ht="18.5" x14ac:dyDescent="0.45">
      <c r="A1" s="106" t="s">
        <v>163</v>
      </c>
      <c r="B1" s="106"/>
      <c r="C1" s="106"/>
      <c r="D1" s="106"/>
      <c r="E1" s="106"/>
      <c r="F1" s="23"/>
      <c r="G1" s="106" t="s">
        <v>164</v>
      </c>
      <c r="H1" s="106"/>
      <c r="I1" s="106"/>
      <c r="J1" s="106"/>
      <c r="K1" s="106"/>
      <c r="M1" s="106" t="s">
        <v>185</v>
      </c>
      <c r="N1" s="106"/>
      <c r="O1" s="106"/>
      <c r="P1" s="106"/>
      <c r="Q1" s="106"/>
    </row>
    <row r="2" spans="1:17" x14ac:dyDescent="0.35">
      <c r="A2" s="24" t="s">
        <v>3</v>
      </c>
      <c r="B2" s="24" t="s">
        <v>79</v>
      </c>
      <c r="C2" s="24" t="s">
        <v>80</v>
      </c>
      <c r="D2" s="24" t="s">
        <v>0</v>
      </c>
      <c r="E2" s="24" t="s">
        <v>8</v>
      </c>
      <c r="F2" s="23"/>
      <c r="G2" s="24" t="s">
        <v>3</v>
      </c>
      <c r="H2" s="24" t="s">
        <v>79</v>
      </c>
      <c r="I2" s="24" t="s">
        <v>80</v>
      </c>
      <c r="J2" s="24" t="s">
        <v>0</v>
      </c>
      <c r="K2" s="24" t="s">
        <v>8</v>
      </c>
      <c r="M2" s="24" t="s">
        <v>3</v>
      </c>
      <c r="N2" s="24" t="s">
        <v>79</v>
      </c>
      <c r="O2" s="24" t="s">
        <v>80</v>
      </c>
      <c r="P2" s="24" t="s">
        <v>0</v>
      </c>
      <c r="Q2" s="24" t="s">
        <v>8</v>
      </c>
    </row>
    <row r="3" spans="1:17" x14ac:dyDescent="0.35">
      <c r="A3" s="29">
        <v>0</v>
      </c>
      <c r="B3" s="24">
        <f>final_electricity__16[[#This Row],[ Building 1 (kWh)]]</f>
        <v>0.16300000000000001</v>
      </c>
      <c r="C3" s="24">
        <f>final_electricity__16[[#This Row],[Building 2 (kWh)]]</f>
        <v>126.105</v>
      </c>
      <c r="D3" s="24">
        <f>final_electricity__16[[#This Row],[Building 3 (kWh)]]</f>
        <v>122.83199999999999</v>
      </c>
      <c r="E3" s="24">
        <f>final_electricity__16[[#This Row],[Community]]</f>
        <v>249.1</v>
      </c>
      <c r="F3" s="23"/>
      <c r="G3" s="29">
        <v>0</v>
      </c>
      <c r="H3" s="24">
        <f>final_electricity__1619[[#This Row],[ Building 1 (kWh)]]*tariffs[[#This Row],[Building 1 (buy)]]</f>
        <v>1.7767000000000002E-2</v>
      </c>
      <c r="I3" s="24">
        <f>final_electricity__1619[[#This Row],[Building 2 (kWh)]]*tariffs[[#This Row],[Building 2 (buy)]]</f>
        <v>14.4642435</v>
      </c>
      <c r="J3" s="24">
        <f>final_electricity__1619[[#This Row],[Building 3 (kWh)]]*tariffs[[#This Row],[Building 3 (buy)]]</f>
        <v>14.887238399999999</v>
      </c>
      <c r="K3" s="24">
        <f>final_electricity__1619[[#This Row],[Community]]*tariffs[[#This Row],[Building 2 (buy)]]</f>
        <v>28.571769999999997</v>
      </c>
      <c r="M3" s="29">
        <v>0</v>
      </c>
      <c r="N3" s="24">
        <f>final_electricity__1619[[#This Row],[ Building 1 (kWh)]]*'Conversion Technologies'!$E$2</f>
        <v>3.2600000000000004E-2</v>
      </c>
      <c r="O3" s="24">
        <f>final_electricity__1619[[#This Row],[Building 2 (kWh)]]*'Conversion Technologies'!$E$2</f>
        <v>25.221000000000004</v>
      </c>
      <c r="P3" s="24">
        <f>final_electricity__1619[[#This Row],[Building 3 (kWh)]]*'Conversion Technologies'!$E$2</f>
        <v>24.566400000000002</v>
      </c>
      <c r="Q3" s="24">
        <f>final_electricity__1615152[[#This Row],[ Building 1 (kWh)]]+final_electricity__1615152[[#This Row],[Building 2 (kWh)]]+final_electricity__1615152[[#This Row],[Building 3 (kWh)]]</f>
        <v>49.820000000000007</v>
      </c>
    </row>
    <row r="4" spans="1:17" x14ac:dyDescent="0.35">
      <c r="A4" s="29">
        <v>1</v>
      </c>
      <c r="B4" s="24">
        <f>final_electricity__16[[#This Row],[ Building 1 (kWh)]]</f>
        <v>0.14899999999999999</v>
      </c>
      <c r="C4" s="24">
        <f>final_electricity__16[[#This Row],[Building 2 (kWh)]]</f>
        <v>124.566</v>
      </c>
      <c r="D4" s="24">
        <f>final_electricity__16[[#This Row],[Building 3 (kWh)]]</f>
        <v>121.10599999999999</v>
      </c>
      <c r="E4" s="24">
        <f>final_electricity__16[[#This Row],[Community]]</f>
        <v>245.821</v>
      </c>
      <c r="F4" s="23"/>
      <c r="G4" s="29">
        <v>1</v>
      </c>
      <c r="H4" s="24">
        <f>final_electricity__1619[[#This Row],[ Building 1 (kWh)]]*tariffs[[#This Row],[Building 1 (buy)]]</f>
        <v>1.6240999999999998E-2</v>
      </c>
      <c r="I4" s="24">
        <f>final_electricity__1619[[#This Row],[Building 2 (kWh)]]*tariffs[[#This Row],[Building 2 (buy)]]</f>
        <v>14.287720199999999</v>
      </c>
      <c r="J4" s="24">
        <f>final_electricity__1619[[#This Row],[Building 3 (kWh)]]*tariffs[[#This Row],[Building 3 (buy)]]</f>
        <v>14.6780472</v>
      </c>
      <c r="K4" s="24">
        <f>final_electricity__1619[[#This Row],[Community]]*tariffs[[#This Row],[Building 2 (buy)]]</f>
        <v>28.195668699999999</v>
      </c>
      <c r="M4" s="29">
        <v>1</v>
      </c>
      <c r="N4" s="24">
        <f>final_electricity__1619[[#This Row],[ Building 1 (kWh)]]*'Conversion Technologies'!$E$2</f>
        <v>2.98E-2</v>
      </c>
      <c r="O4" s="24">
        <f>final_electricity__1619[[#This Row],[Building 2 (kWh)]]*'Conversion Technologies'!$E$2</f>
        <v>24.913200000000003</v>
      </c>
      <c r="P4" s="24">
        <f>final_electricity__1619[[#This Row],[Building 3 (kWh)]]*'Conversion Technologies'!$E$2</f>
        <v>24.2212</v>
      </c>
      <c r="Q4" s="24">
        <f>final_electricity__1615152[[#This Row],[ Building 1 (kWh)]]+final_electricity__1615152[[#This Row],[Building 2 (kWh)]]+final_electricity__1615152[[#This Row],[Building 3 (kWh)]]</f>
        <v>49.164200000000008</v>
      </c>
    </row>
    <row r="5" spans="1:17" x14ac:dyDescent="0.35">
      <c r="A5" s="29">
        <v>2</v>
      </c>
      <c r="B5" s="24">
        <f>final_electricity__16[[#This Row],[ Building 1 (kWh)]]</f>
        <v>0.121</v>
      </c>
      <c r="C5" s="24">
        <f>final_electricity__16[[#This Row],[Building 2 (kWh)]]</f>
        <v>122.24</v>
      </c>
      <c r="D5" s="24">
        <f>final_electricity__16[[#This Row],[Building 3 (kWh)]]</f>
        <v>111.349</v>
      </c>
      <c r="E5" s="24">
        <f>final_electricity__16[[#This Row],[Community]]</f>
        <v>233.70999999999998</v>
      </c>
      <c r="F5" s="23"/>
      <c r="G5" s="29">
        <v>2</v>
      </c>
      <c r="H5" s="24">
        <f>final_electricity__1619[[#This Row],[ Building 1 (kWh)]]*tariffs[[#This Row],[Building 1 (buy)]]</f>
        <v>1.3188999999999999E-2</v>
      </c>
      <c r="I5" s="24">
        <f>final_electricity__1619[[#This Row],[Building 2 (kWh)]]*tariffs[[#This Row],[Building 2 (buy)]]</f>
        <v>11.0016</v>
      </c>
      <c r="J5" s="24">
        <f>final_electricity__1619[[#This Row],[Building 3 (kWh)]]*tariffs[[#This Row],[Building 3 (buy)]]</f>
        <v>11.8920732</v>
      </c>
      <c r="K5" s="24">
        <f>final_electricity__1619[[#This Row],[Community]]*tariffs[[#This Row],[Building 2 (buy)]]</f>
        <v>21.033899999999999</v>
      </c>
      <c r="M5" s="29">
        <v>2</v>
      </c>
      <c r="N5" s="24">
        <f>final_electricity__1619[[#This Row],[ Building 1 (kWh)]]*'Conversion Technologies'!$E$2</f>
        <v>2.4199999999999999E-2</v>
      </c>
      <c r="O5" s="24">
        <f>final_electricity__1619[[#This Row],[Building 2 (kWh)]]*'Conversion Technologies'!$E$2</f>
        <v>24.448</v>
      </c>
      <c r="P5" s="24">
        <f>final_electricity__1619[[#This Row],[Building 3 (kWh)]]*'Conversion Technologies'!$E$2</f>
        <v>22.269800000000004</v>
      </c>
      <c r="Q5" s="24">
        <f>final_electricity__1615152[[#This Row],[ Building 1 (kWh)]]+final_electricity__1615152[[#This Row],[Building 2 (kWh)]]+final_electricity__1615152[[#This Row],[Building 3 (kWh)]]</f>
        <v>46.742000000000004</v>
      </c>
    </row>
    <row r="6" spans="1:17" x14ac:dyDescent="0.35">
      <c r="A6" s="29">
        <v>3</v>
      </c>
      <c r="B6" s="24">
        <f>final_electricity__16[[#This Row],[ Building 1 (kWh)]]</f>
        <v>0.112</v>
      </c>
      <c r="C6" s="24">
        <f>final_electricity__16[[#This Row],[Building 2 (kWh)]]</f>
        <v>119.33199999999999</v>
      </c>
      <c r="D6" s="24">
        <f>final_electricity__16[[#This Row],[Building 3 (kWh)]]</f>
        <v>108.373</v>
      </c>
      <c r="E6" s="24">
        <f>final_electricity__16[[#This Row],[Community]]</f>
        <v>227.81700000000001</v>
      </c>
      <c r="F6" s="23"/>
      <c r="G6" s="29">
        <v>3</v>
      </c>
      <c r="H6" s="24">
        <f>final_electricity__1619[[#This Row],[ Building 1 (kWh)]]*tariffs[[#This Row],[Building 1 (buy)]]</f>
        <v>1.2208E-2</v>
      </c>
      <c r="I6" s="24">
        <f>final_electricity__1619[[#This Row],[Building 2 (kWh)]]*tariffs[[#This Row],[Building 2 (buy)]]</f>
        <v>10.739879999999999</v>
      </c>
      <c r="J6" s="24">
        <f>final_electricity__1619[[#This Row],[Building 3 (kWh)]]*tariffs[[#This Row],[Building 3 (buy)]]</f>
        <v>11.574236400000002</v>
      </c>
      <c r="K6" s="24">
        <f>final_electricity__1619[[#This Row],[Community]]*tariffs[[#This Row],[Building 2 (buy)]]</f>
        <v>20.503530000000001</v>
      </c>
      <c r="M6" s="29">
        <v>3</v>
      </c>
      <c r="N6" s="24">
        <f>final_electricity__1619[[#This Row],[ Building 1 (kWh)]]*'Conversion Technologies'!$E$2</f>
        <v>2.2400000000000003E-2</v>
      </c>
      <c r="O6" s="24">
        <f>final_electricity__1619[[#This Row],[Building 2 (kWh)]]*'Conversion Technologies'!$E$2</f>
        <v>23.866399999999999</v>
      </c>
      <c r="P6" s="24">
        <f>final_electricity__1619[[#This Row],[Building 3 (kWh)]]*'Conversion Technologies'!$E$2</f>
        <v>21.674600000000002</v>
      </c>
      <c r="Q6" s="24">
        <f>final_electricity__1615152[[#This Row],[ Building 1 (kWh)]]+final_electricity__1615152[[#This Row],[Building 2 (kWh)]]+final_electricity__1615152[[#This Row],[Building 3 (kWh)]]</f>
        <v>45.563400000000001</v>
      </c>
    </row>
    <row r="7" spans="1:17" x14ac:dyDescent="0.35">
      <c r="A7" s="29">
        <v>4</v>
      </c>
      <c r="B7" s="24">
        <f>final_electricity__16[[#This Row],[ Building 1 (kWh)]]</f>
        <v>0.11700000000000001</v>
      </c>
      <c r="C7" s="24">
        <f>final_electricity__16[[#This Row],[Building 2 (kWh)]]</f>
        <v>118.456</v>
      </c>
      <c r="D7" s="24">
        <f>final_electricity__16[[#This Row],[Building 3 (kWh)]]</f>
        <v>111.221</v>
      </c>
      <c r="E7" s="24">
        <f>final_electricity__16[[#This Row],[Community]]</f>
        <v>229.79400000000001</v>
      </c>
      <c r="F7" s="23"/>
      <c r="G7" s="29">
        <v>4</v>
      </c>
      <c r="H7" s="24">
        <f>final_electricity__1619[[#This Row],[ Building 1 (kWh)]]*tariffs[[#This Row],[Building 1 (buy)]]</f>
        <v>1.2753E-2</v>
      </c>
      <c r="I7" s="24">
        <f>final_electricity__1619[[#This Row],[Building 2 (kWh)]]*tariffs[[#This Row],[Building 2 (buy)]]</f>
        <v>10.66104</v>
      </c>
      <c r="J7" s="24">
        <f>final_electricity__1619[[#This Row],[Building 3 (kWh)]]*tariffs[[#This Row],[Building 3 (buy)]]</f>
        <v>11.878402800000002</v>
      </c>
      <c r="K7" s="24">
        <f>final_electricity__1619[[#This Row],[Community]]*tariffs[[#This Row],[Building 2 (buy)]]</f>
        <v>20.681460000000001</v>
      </c>
      <c r="M7" s="29">
        <v>4</v>
      </c>
      <c r="N7" s="24">
        <f>final_electricity__1619[[#This Row],[ Building 1 (kWh)]]*'Conversion Technologies'!$E$2</f>
        <v>2.3400000000000004E-2</v>
      </c>
      <c r="O7" s="24">
        <f>final_electricity__1619[[#This Row],[Building 2 (kWh)]]*'Conversion Technologies'!$E$2</f>
        <v>23.691200000000002</v>
      </c>
      <c r="P7" s="24">
        <f>final_electricity__1619[[#This Row],[Building 3 (kWh)]]*'Conversion Technologies'!$E$2</f>
        <v>22.244200000000003</v>
      </c>
      <c r="Q7" s="24">
        <f>final_electricity__1615152[[#This Row],[ Building 1 (kWh)]]+final_electricity__1615152[[#This Row],[Building 2 (kWh)]]+final_electricity__1615152[[#This Row],[Building 3 (kWh)]]</f>
        <v>45.958800000000004</v>
      </c>
    </row>
    <row r="8" spans="1:17" x14ac:dyDescent="0.35">
      <c r="A8" s="29">
        <v>5</v>
      </c>
      <c r="B8" s="24">
        <f>final_electricity__16[[#This Row],[ Building 1 (kWh)]]</f>
        <v>0.13</v>
      </c>
      <c r="C8" s="24">
        <f>final_electricity__16[[#This Row],[Building 2 (kWh)]]</f>
        <v>123.203</v>
      </c>
      <c r="D8" s="24">
        <f>final_electricity__16[[#This Row],[Building 3 (kWh)]]</f>
        <v>124.458</v>
      </c>
      <c r="E8" s="24">
        <f>final_electricity__16[[#This Row],[Community]]</f>
        <v>247.791</v>
      </c>
      <c r="F8" s="23"/>
      <c r="G8" s="29">
        <v>5</v>
      </c>
      <c r="H8" s="24">
        <f>final_electricity__1619[[#This Row],[ Building 1 (kWh)]]*tariffs[[#This Row],[Building 1 (buy)]]</f>
        <v>1.417E-2</v>
      </c>
      <c r="I8" s="24">
        <f>final_electricity__1619[[#This Row],[Building 2 (kWh)]]*tariffs[[#This Row],[Building 2 (buy)]]</f>
        <v>11.08827</v>
      </c>
      <c r="J8" s="24">
        <f>final_electricity__1619[[#This Row],[Building 3 (kWh)]]*tariffs[[#This Row],[Building 3 (buy)]]</f>
        <v>13.292114400000001</v>
      </c>
      <c r="K8" s="24">
        <f>final_electricity__1619[[#This Row],[Community]]*tariffs[[#This Row],[Building 2 (buy)]]</f>
        <v>22.301189999999998</v>
      </c>
      <c r="M8" s="29">
        <v>5</v>
      </c>
      <c r="N8" s="24">
        <f>final_electricity__1619[[#This Row],[ Building 1 (kWh)]]*'Conversion Technologies'!$E$2</f>
        <v>2.6000000000000002E-2</v>
      </c>
      <c r="O8" s="24">
        <f>final_electricity__1619[[#This Row],[Building 2 (kWh)]]*'Conversion Technologies'!$E$2</f>
        <v>24.640600000000003</v>
      </c>
      <c r="P8" s="24">
        <f>final_electricity__1619[[#This Row],[Building 3 (kWh)]]*'Conversion Technologies'!$E$2</f>
        <v>24.8916</v>
      </c>
      <c r="Q8" s="24">
        <f>final_electricity__1615152[[#This Row],[ Building 1 (kWh)]]+final_electricity__1615152[[#This Row],[Building 2 (kWh)]]+final_electricity__1615152[[#This Row],[Building 3 (kWh)]]</f>
        <v>49.558199999999999</v>
      </c>
    </row>
    <row r="9" spans="1:17" x14ac:dyDescent="0.35">
      <c r="A9" s="29">
        <v>6</v>
      </c>
      <c r="B9" s="24">
        <f>final_electricity__16[[#This Row],[ Building 1 (kWh)]]</f>
        <v>0.11700000000000001</v>
      </c>
      <c r="C9" s="24">
        <f>final_electricity__16[[#This Row],[Building 2 (kWh)]]</f>
        <v>128.864</v>
      </c>
      <c r="D9" s="24">
        <f>final_electricity__16[[#This Row],[Building 3 (kWh)]]</f>
        <v>135.33600000000001</v>
      </c>
      <c r="E9" s="24">
        <f>final_electricity__16[[#This Row],[Community]]</f>
        <v>264.31700000000001</v>
      </c>
      <c r="F9" s="23"/>
      <c r="G9" s="29">
        <v>6</v>
      </c>
      <c r="H9" s="24">
        <f>final_electricity__1619[[#This Row],[ Building 1 (kWh)]]*tariffs[[#This Row],[Building 1 (buy)]]</f>
        <v>1.2753E-2</v>
      </c>
      <c r="I9" s="24">
        <f>final_electricity__1619[[#This Row],[Building 2 (kWh)]]*tariffs[[#This Row],[Building 2 (buy)]]</f>
        <v>14.7807008</v>
      </c>
      <c r="J9" s="24">
        <f>final_electricity__1619[[#This Row],[Building 3 (kWh)]]*tariffs[[#This Row],[Building 3 (buy)]]</f>
        <v>17.756083200000003</v>
      </c>
      <c r="K9" s="24">
        <f>final_electricity__1619[[#This Row],[Community]]*tariffs[[#This Row],[Building 2 (buy)]]</f>
        <v>30.3171599</v>
      </c>
      <c r="M9" s="29">
        <v>6</v>
      </c>
      <c r="N9" s="24">
        <f>final_electricity__1619[[#This Row],[ Building 1 (kWh)]]*'Conversion Technologies'!$E$2</f>
        <v>2.3400000000000004E-2</v>
      </c>
      <c r="O9" s="24">
        <f>final_electricity__1619[[#This Row],[Building 2 (kWh)]]*'Conversion Technologies'!$E$2</f>
        <v>25.772800000000004</v>
      </c>
      <c r="P9" s="24">
        <f>final_electricity__1619[[#This Row],[Building 3 (kWh)]]*'Conversion Technologies'!$E$2</f>
        <v>27.067200000000003</v>
      </c>
      <c r="Q9" s="24">
        <f>final_electricity__1615152[[#This Row],[ Building 1 (kWh)]]+final_electricity__1615152[[#This Row],[Building 2 (kWh)]]+final_electricity__1615152[[#This Row],[Building 3 (kWh)]]</f>
        <v>52.863400000000006</v>
      </c>
    </row>
    <row r="10" spans="1:17" x14ac:dyDescent="0.35">
      <c r="A10" s="29">
        <v>7</v>
      </c>
      <c r="B10" s="24">
        <f>final_electricity__16[[#This Row],[ Building 1 (kWh)]]</f>
        <v>0.377</v>
      </c>
      <c r="C10" s="24">
        <f>final_electricity__16[[#This Row],[Building 2 (kWh)]]</f>
        <v>156.93</v>
      </c>
      <c r="D10" s="24">
        <f>final_electricity__16[[#This Row],[Building 3 (kWh)]]</f>
        <v>205.28700000000001</v>
      </c>
      <c r="E10" s="24">
        <f>final_electricity__16[[#This Row],[Community]]</f>
        <v>362.59400000000005</v>
      </c>
      <c r="F10" s="23"/>
      <c r="G10" s="29">
        <v>7</v>
      </c>
      <c r="H10" s="24">
        <f>final_electricity__1619[[#This Row],[ Building 1 (kWh)]]*tariffs[[#This Row],[Building 1 (buy)]]</f>
        <v>7.3741199999999993E-2</v>
      </c>
      <c r="I10" s="24">
        <f>final_electricity__1619[[#This Row],[Building 2 (kWh)]]*tariffs[[#This Row],[Building 2 (buy)]]</f>
        <v>24.622317000000002</v>
      </c>
      <c r="J10" s="24">
        <f>final_electricity__1619[[#This Row],[Building 3 (kWh)]]*tariffs[[#This Row],[Building 3 (buy)]]</f>
        <v>34.365043800000002</v>
      </c>
      <c r="K10" s="24">
        <f>final_electricity__1619[[#This Row],[Community]]*tariffs[[#This Row],[Building 2 (buy)]]</f>
        <v>56.89099860000001</v>
      </c>
      <c r="M10" s="29">
        <v>7</v>
      </c>
      <c r="N10" s="24">
        <f>final_electricity__1619[[#This Row],[ Building 1 (kWh)]]*'Conversion Technologies'!$E$2</f>
        <v>7.5400000000000009E-2</v>
      </c>
      <c r="O10" s="24">
        <f>final_electricity__1619[[#This Row],[Building 2 (kWh)]]*'Conversion Technologies'!$E$2</f>
        <v>31.386000000000003</v>
      </c>
      <c r="P10" s="24">
        <f>final_electricity__1619[[#This Row],[Building 3 (kWh)]]*'Conversion Technologies'!$E$2</f>
        <v>41.057400000000001</v>
      </c>
      <c r="Q10" s="24">
        <f>final_electricity__1615152[[#This Row],[ Building 1 (kWh)]]+final_electricity__1615152[[#This Row],[Building 2 (kWh)]]+final_electricity__1615152[[#This Row],[Building 3 (kWh)]]</f>
        <v>72.518799999999999</v>
      </c>
    </row>
    <row r="11" spans="1:17" x14ac:dyDescent="0.35">
      <c r="A11" s="29">
        <v>8</v>
      </c>
      <c r="B11" s="24">
        <f>final_electricity__16[[#This Row],[ Building 1 (kWh)]]</f>
        <v>0.90200000000000002</v>
      </c>
      <c r="C11" s="24">
        <f>final_electricity__16[[#This Row],[Building 2 (kWh)]]</f>
        <v>213.28899999999999</v>
      </c>
      <c r="D11" s="24">
        <f>final_electricity__16[[#This Row],[Building 3 (kWh)]]</f>
        <v>276.12</v>
      </c>
      <c r="E11" s="24">
        <f>final_electricity__16[[#This Row],[Community]]</f>
        <v>490.31099999999998</v>
      </c>
      <c r="F11" s="23"/>
      <c r="G11" s="29">
        <v>8</v>
      </c>
      <c r="H11" s="24">
        <f>final_electricity__1619[[#This Row],[ Building 1 (kWh)]]*tariffs[[#This Row],[Building 1 (buy)]]</f>
        <v>0.17643120000000001</v>
      </c>
      <c r="I11" s="24">
        <f>final_electricity__1619[[#This Row],[Building 2 (kWh)]]*tariffs[[#This Row],[Building 2 (buy)]]</f>
        <v>33.4650441</v>
      </c>
      <c r="J11" s="24">
        <f>final_electricity__1619[[#This Row],[Building 3 (kWh)]]*tariffs[[#This Row],[Building 3 (buy)]]</f>
        <v>46.222487999999998</v>
      </c>
      <c r="K11" s="24">
        <f>final_electricity__1619[[#This Row],[Community]]*tariffs[[#This Row],[Building 2 (buy)]]</f>
        <v>76.929795900000002</v>
      </c>
      <c r="M11" s="29">
        <v>8</v>
      </c>
      <c r="N11" s="24">
        <f>final_electricity__1619[[#This Row],[ Building 1 (kWh)]]*'Conversion Technologies'!$E$2</f>
        <v>0.1804</v>
      </c>
      <c r="O11" s="24">
        <f>final_electricity__1619[[#This Row],[Building 2 (kWh)]]*'Conversion Technologies'!$E$2</f>
        <v>42.657800000000002</v>
      </c>
      <c r="P11" s="24">
        <f>final_electricity__1619[[#This Row],[Building 3 (kWh)]]*'Conversion Technologies'!$E$2</f>
        <v>55.224000000000004</v>
      </c>
      <c r="Q11" s="24">
        <f>final_electricity__1615152[[#This Row],[ Building 1 (kWh)]]+final_electricity__1615152[[#This Row],[Building 2 (kWh)]]+final_electricity__1615152[[#This Row],[Building 3 (kWh)]]</f>
        <v>98.062200000000004</v>
      </c>
    </row>
    <row r="12" spans="1:17" x14ac:dyDescent="0.35">
      <c r="A12" s="29">
        <v>9</v>
      </c>
      <c r="B12" s="24">
        <f>final_electricity__16[[#This Row],[ Building 1 (kWh)]]</f>
        <v>0.17599999999999999</v>
      </c>
      <c r="C12" s="24">
        <f>final_electricity__16[[#This Row],[Building 2 (kWh)]]</f>
        <v>264.62</v>
      </c>
      <c r="D12" s="24">
        <f>final_electricity__16[[#This Row],[Building 3 (kWh)]]</f>
        <v>327.05939999999998</v>
      </c>
      <c r="E12" s="24">
        <f>final_electricity__16[[#This Row],[Community]]</f>
        <v>591.85539999999992</v>
      </c>
      <c r="F12" s="23"/>
      <c r="G12" s="29">
        <v>9</v>
      </c>
      <c r="H12" s="24">
        <f>final_electricity__1619[[#This Row],[ Building 1 (kWh)]]*tariffs[[#This Row],[Building 1 (buy)]]</f>
        <v>3.4425600000000001E-2</v>
      </c>
      <c r="I12" s="24">
        <f>final_electricity__1619[[#This Row],[Building 2 (kWh)]]*tariffs[[#This Row],[Building 2 (buy)]]</f>
        <v>46.467272000000001</v>
      </c>
      <c r="J12" s="24">
        <f>final_electricity__1619[[#This Row],[Building 3 (kWh)]]*tariffs[[#This Row],[Building 3 (buy)]]</f>
        <v>57.398924699999995</v>
      </c>
      <c r="K12" s="24">
        <f>final_electricity__1619[[#This Row],[Community]]*tariffs[[#This Row],[Building 2 (buy)]]</f>
        <v>103.92980823999999</v>
      </c>
      <c r="M12" s="29">
        <v>9</v>
      </c>
      <c r="N12" s="24">
        <f>final_electricity__1619[[#This Row],[ Building 1 (kWh)]]*'Conversion Technologies'!$E$2</f>
        <v>3.5200000000000002E-2</v>
      </c>
      <c r="O12" s="24">
        <f>final_electricity__1619[[#This Row],[Building 2 (kWh)]]*'Conversion Technologies'!$E$2</f>
        <v>52.924000000000007</v>
      </c>
      <c r="P12" s="24">
        <f>final_electricity__1619[[#This Row],[Building 3 (kWh)]]*'Conversion Technologies'!$E$2</f>
        <v>65.411879999999996</v>
      </c>
      <c r="Q12" s="24">
        <f>final_electricity__1615152[[#This Row],[ Building 1 (kWh)]]+final_electricity__1615152[[#This Row],[Building 2 (kWh)]]+final_electricity__1615152[[#This Row],[Building 3 (kWh)]]</f>
        <v>118.37108000000001</v>
      </c>
    </row>
    <row r="13" spans="1:17" x14ac:dyDescent="0.35">
      <c r="A13" s="29">
        <v>10</v>
      </c>
      <c r="B13" s="24">
        <f>final_electricity__16[[#This Row],[ Building 1 (kWh)]]</f>
        <v>0.318</v>
      </c>
      <c r="C13" s="24">
        <f>final_electricity__16[[#This Row],[Building 2 (kWh)]]</f>
        <v>278.54599999999999</v>
      </c>
      <c r="D13" s="24">
        <f>final_electricity__16[[#This Row],[Building 3 (kWh)]]</f>
        <v>357.839</v>
      </c>
      <c r="E13" s="24">
        <f>final_electricity__16[[#This Row],[Community]]</f>
        <v>636.70299999999997</v>
      </c>
      <c r="F13" s="23"/>
      <c r="G13" s="29">
        <v>10</v>
      </c>
      <c r="H13" s="24">
        <f>final_electricity__1619[[#This Row],[ Building 1 (kWh)]]*tariffs[[#This Row],[Building 1 (buy)]]</f>
        <v>6.2200800000000001E-2</v>
      </c>
      <c r="I13" s="24">
        <f>final_electricity__1619[[#This Row],[Building 2 (kWh)]]*tariffs[[#This Row],[Building 2 (buy)]]</f>
        <v>48.912677600000002</v>
      </c>
      <c r="J13" s="24">
        <f>final_electricity__1619[[#This Row],[Building 3 (kWh)]]*tariffs[[#This Row],[Building 3 (buy)]]</f>
        <v>62.800744499999993</v>
      </c>
      <c r="K13" s="24">
        <f>final_electricity__1619[[#This Row],[Community]]*tariffs[[#This Row],[Building 2 (buy)]]</f>
        <v>111.8050468</v>
      </c>
      <c r="M13" s="29">
        <v>10</v>
      </c>
      <c r="N13" s="24">
        <f>final_electricity__1619[[#This Row],[ Building 1 (kWh)]]*'Conversion Technologies'!$E$2</f>
        <v>6.3600000000000004E-2</v>
      </c>
      <c r="O13" s="24">
        <f>final_electricity__1619[[#This Row],[Building 2 (kWh)]]*'Conversion Technologies'!$E$2</f>
        <v>55.709200000000003</v>
      </c>
      <c r="P13" s="24">
        <f>final_electricity__1619[[#This Row],[Building 3 (kWh)]]*'Conversion Technologies'!$E$2</f>
        <v>71.567800000000005</v>
      </c>
      <c r="Q13" s="24">
        <f>final_electricity__1615152[[#This Row],[ Building 1 (kWh)]]+final_electricity__1615152[[#This Row],[Building 2 (kWh)]]+final_electricity__1615152[[#This Row],[Building 3 (kWh)]]</f>
        <v>127.34060000000001</v>
      </c>
    </row>
    <row r="14" spans="1:17" x14ac:dyDescent="0.35">
      <c r="A14" s="29">
        <v>11</v>
      </c>
      <c r="B14" s="24">
        <f>final_electricity__16[[#This Row],[ Building 1 (kWh)]]</f>
        <v>0.122</v>
      </c>
      <c r="C14" s="24">
        <f>final_electricity__16[[#This Row],[Building 2 (kWh)]]</f>
        <v>290.54700000000003</v>
      </c>
      <c r="D14" s="24">
        <f>final_electricity__16[[#This Row],[Building 3 (kWh)]]</f>
        <v>393.238</v>
      </c>
      <c r="E14" s="24">
        <f>final_electricity__16[[#This Row],[Community]]</f>
        <v>683.90700000000004</v>
      </c>
      <c r="F14" s="23"/>
      <c r="G14" s="29">
        <v>11</v>
      </c>
      <c r="H14" s="24">
        <f>final_electricity__1619[[#This Row],[ Building 1 (kWh)]]*tariffs[[#This Row],[Building 1 (buy)]]</f>
        <v>2.3863199999999998E-2</v>
      </c>
      <c r="I14" s="24">
        <f>final_electricity__1619[[#This Row],[Building 2 (kWh)]]*tariffs[[#This Row],[Building 2 (buy)]]</f>
        <v>51.020053200000007</v>
      </c>
      <c r="J14" s="24">
        <f>final_electricity__1619[[#This Row],[Building 3 (kWh)]]*tariffs[[#This Row],[Building 3 (buy)]]</f>
        <v>69.013268999999994</v>
      </c>
      <c r="K14" s="24">
        <f>final_electricity__1619[[#This Row],[Community]]*tariffs[[#This Row],[Building 2 (buy)]]</f>
        <v>120.09406920000001</v>
      </c>
      <c r="M14" s="29">
        <v>11</v>
      </c>
      <c r="N14" s="24">
        <f>final_electricity__1619[[#This Row],[ Building 1 (kWh)]]*'Conversion Technologies'!$E$2</f>
        <v>2.4400000000000002E-2</v>
      </c>
      <c r="O14" s="24">
        <f>final_electricity__1619[[#This Row],[Building 2 (kWh)]]*'Conversion Technologies'!$E$2</f>
        <v>58.109400000000008</v>
      </c>
      <c r="P14" s="24">
        <f>final_electricity__1619[[#This Row],[Building 3 (kWh)]]*'Conversion Technologies'!$E$2</f>
        <v>78.647600000000011</v>
      </c>
      <c r="Q14" s="24">
        <f>final_electricity__1615152[[#This Row],[ Building 1 (kWh)]]+final_electricity__1615152[[#This Row],[Building 2 (kWh)]]+final_electricity__1615152[[#This Row],[Building 3 (kWh)]]</f>
        <v>136.78140000000002</v>
      </c>
    </row>
    <row r="15" spans="1:17" x14ac:dyDescent="0.35">
      <c r="A15" s="29">
        <v>12</v>
      </c>
      <c r="B15" s="24">
        <f>final_electricity__16[[#This Row],[ Building 1 (kWh)]]</f>
        <v>0.10100000000000001</v>
      </c>
      <c r="C15" s="24">
        <f>final_electricity__16[[#This Row],[Building 2 (kWh)]]</f>
        <v>278.565</v>
      </c>
      <c r="D15" s="24">
        <f>final_electricity__16[[#This Row],[Building 3 (kWh)]]</f>
        <v>400.87400000000002</v>
      </c>
      <c r="E15" s="24">
        <f>final_electricity__16[[#This Row],[Community]]</f>
        <v>679.54</v>
      </c>
      <c r="F15" s="23"/>
      <c r="G15" s="29">
        <v>12</v>
      </c>
      <c r="H15" s="24">
        <f>final_electricity__1619[[#This Row],[ Building 1 (kWh)]]*tariffs[[#This Row],[Building 1 (buy)]]</f>
        <v>1.9755600000000002E-2</v>
      </c>
      <c r="I15" s="24">
        <f>final_electricity__1619[[#This Row],[Building 2 (kWh)]]*tariffs[[#This Row],[Building 2 (buy)]]</f>
        <v>43.7068485</v>
      </c>
      <c r="J15" s="24">
        <f>final_electricity__1619[[#This Row],[Building 3 (kWh)]]*tariffs[[#This Row],[Building 3 (buy)]]</f>
        <v>67.106307600000008</v>
      </c>
      <c r="K15" s="24">
        <f>final_electricity__1619[[#This Row],[Community]]*tariffs[[#This Row],[Building 2 (buy)]]</f>
        <v>106.619826</v>
      </c>
      <c r="M15" s="29">
        <v>12</v>
      </c>
      <c r="N15" s="24">
        <f>final_electricity__1619[[#This Row],[ Building 1 (kWh)]]*'Conversion Technologies'!$E$2</f>
        <v>2.0200000000000003E-2</v>
      </c>
      <c r="O15" s="24">
        <f>final_electricity__1619[[#This Row],[Building 2 (kWh)]]*'Conversion Technologies'!$E$2</f>
        <v>55.713000000000001</v>
      </c>
      <c r="P15" s="24">
        <f>final_electricity__1619[[#This Row],[Building 3 (kWh)]]*'Conversion Technologies'!$E$2</f>
        <v>80.174800000000005</v>
      </c>
      <c r="Q15" s="24">
        <f>final_electricity__1615152[[#This Row],[ Building 1 (kWh)]]+final_electricity__1615152[[#This Row],[Building 2 (kWh)]]+final_electricity__1615152[[#This Row],[Building 3 (kWh)]]</f>
        <v>135.90800000000002</v>
      </c>
    </row>
    <row r="16" spans="1:17" x14ac:dyDescent="0.35">
      <c r="A16" s="29">
        <v>13</v>
      </c>
      <c r="B16" s="24">
        <f>final_electricity__16[[#This Row],[ Building 1 (kWh)]]</f>
        <v>0.106</v>
      </c>
      <c r="C16" s="24">
        <f>final_electricity__16[[#This Row],[Building 2 (kWh)]]</f>
        <v>298.416</v>
      </c>
      <c r="D16" s="24">
        <f>final_electricity__16[[#This Row],[Building 3 (kWh)]]</f>
        <v>372.48899999999998</v>
      </c>
      <c r="E16" s="24">
        <f>final_electricity__16[[#This Row],[Community]]</f>
        <v>671.01099999999997</v>
      </c>
      <c r="F16" s="23"/>
      <c r="G16" s="29">
        <v>13</v>
      </c>
      <c r="H16" s="24">
        <f>final_electricity__1619[[#This Row],[ Building 1 (kWh)]]*tariffs[[#This Row],[Building 1 (buy)]]</f>
        <v>2.0733599999999998E-2</v>
      </c>
      <c r="I16" s="24">
        <f>final_electricity__1619[[#This Row],[Building 2 (kWh)]]*tariffs[[#This Row],[Building 2 (buy)]]</f>
        <v>46.821470400000003</v>
      </c>
      <c r="J16" s="24">
        <f>final_electricity__1619[[#This Row],[Building 3 (kWh)]]*tariffs[[#This Row],[Building 3 (buy)]]</f>
        <v>62.354658599999993</v>
      </c>
      <c r="K16" s="24">
        <f>final_electricity__1619[[#This Row],[Community]]*tariffs[[#This Row],[Building 2 (buy)]]</f>
        <v>105.28162590000001</v>
      </c>
      <c r="M16" s="29">
        <v>13</v>
      </c>
      <c r="N16" s="24">
        <f>final_electricity__1619[[#This Row],[ Building 1 (kWh)]]*'Conversion Technologies'!$E$2</f>
        <v>2.12E-2</v>
      </c>
      <c r="O16" s="24">
        <f>final_electricity__1619[[#This Row],[Building 2 (kWh)]]*'Conversion Technologies'!$E$2</f>
        <v>59.683199999999999</v>
      </c>
      <c r="P16" s="24">
        <f>final_electricity__1619[[#This Row],[Building 3 (kWh)]]*'Conversion Technologies'!$E$2</f>
        <v>74.497799999999998</v>
      </c>
      <c r="Q16" s="24">
        <f>final_electricity__1615152[[#This Row],[ Building 1 (kWh)]]+final_electricity__1615152[[#This Row],[Building 2 (kWh)]]+final_electricity__1615152[[#This Row],[Building 3 (kWh)]]</f>
        <v>134.2022</v>
      </c>
    </row>
    <row r="17" spans="1:17" x14ac:dyDescent="0.35">
      <c r="A17" s="29">
        <v>14</v>
      </c>
      <c r="B17" s="24">
        <f>final_electricity__16[[#This Row],[ Building 1 (kWh)]]</f>
        <v>0.17499999999999999</v>
      </c>
      <c r="C17" s="24">
        <f>final_electricity__16[[#This Row],[Building 2 (kWh)]]</f>
        <v>322.815</v>
      </c>
      <c r="D17" s="24">
        <f>final_electricity__16[[#This Row],[Building 3 (kWh)]]</f>
        <v>357.63299999999998</v>
      </c>
      <c r="E17" s="24">
        <f>final_electricity__16[[#This Row],[Community]]</f>
        <v>680.62300000000005</v>
      </c>
      <c r="F17" s="23"/>
      <c r="G17" s="29">
        <v>14</v>
      </c>
      <c r="H17" s="24">
        <f>final_electricity__1619[[#This Row],[ Building 1 (kWh)]]*tariffs[[#This Row],[Building 1 (buy)]]</f>
        <v>3.4229999999999997E-2</v>
      </c>
      <c r="I17" s="24">
        <f>final_electricity__1619[[#This Row],[Building 2 (kWh)]]*tariffs[[#This Row],[Building 2 (buy)]]</f>
        <v>50.649673500000006</v>
      </c>
      <c r="J17" s="24">
        <f>final_electricity__1619[[#This Row],[Building 3 (kWh)]]*tariffs[[#This Row],[Building 3 (buy)]]</f>
        <v>59.867764199999996</v>
      </c>
      <c r="K17" s="24">
        <f>final_electricity__1619[[#This Row],[Community]]*tariffs[[#This Row],[Building 2 (buy)]]</f>
        <v>106.78974870000002</v>
      </c>
      <c r="M17" s="29">
        <v>14</v>
      </c>
      <c r="N17" s="24">
        <f>final_electricity__1619[[#This Row],[ Building 1 (kWh)]]*'Conversion Technologies'!$E$2</f>
        <v>3.4999999999999996E-2</v>
      </c>
      <c r="O17" s="24">
        <f>final_electricity__1619[[#This Row],[Building 2 (kWh)]]*'Conversion Technologies'!$E$2</f>
        <v>64.563000000000002</v>
      </c>
      <c r="P17" s="24">
        <f>final_electricity__1619[[#This Row],[Building 3 (kWh)]]*'Conversion Technologies'!$E$2</f>
        <v>71.526600000000002</v>
      </c>
      <c r="Q17" s="24">
        <f>final_electricity__1615152[[#This Row],[ Building 1 (kWh)]]+final_electricity__1615152[[#This Row],[Building 2 (kWh)]]+final_electricity__1615152[[#This Row],[Building 3 (kWh)]]</f>
        <v>136.12459999999999</v>
      </c>
    </row>
    <row r="18" spans="1:17" x14ac:dyDescent="0.35">
      <c r="A18" s="29">
        <v>15</v>
      </c>
      <c r="B18" s="24">
        <f>final_electricity__16[[#This Row],[ Building 1 (kWh)]]</f>
        <v>0.23200000000000001</v>
      </c>
      <c r="C18" s="24">
        <f>final_electricity__16[[#This Row],[Building 2 (kWh)]]</f>
        <v>325.81900000000002</v>
      </c>
      <c r="D18" s="24">
        <f>final_electricity__16[[#This Row],[Building 3 (kWh)]]</f>
        <v>367.19799999999998</v>
      </c>
      <c r="E18" s="24">
        <f>final_electricity__16[[#This Row],[Community]]</f>
        <v>693.24900000000002</v>
      </c>
      <c r="F18" s="23"/>
      <c r="G18" s="29">
        <v>15</v>
      </c>
      <c r="H18" s="24">
        <f>final_electricity__1619[[#This Row],[ Building 1 (kWh)]]*tariffs[[#This Row],[Building 1 (buy)]]</f>
        <v>4.5379200000000001E-2</v>
      </c>
      <c r="I18" s="24">
        <f>final_electricity__1619[[#This Row],[Building 2 (kWh)]]*tariffs[[#This Row],[Building 2 (buy)]]</f>
        <v>51.121001100000008</v>
      </c>
      <c r="J18" s="24">
        <f>final_electricity__1619[[#This Row],[Building 3 (kWh)]]*tariffs[[#This Row],[Building 3 (buy)]]</f>
        <v>61.468945199999993</v>
      </c>
      <c r="K18" s="24">
        <f>final_electricity__1619[[#This Row],[Community]]*tariffs[[#This Row],[Building 2 (buy)]]</f>
        <v>108.77076810000001</v>
      </c>
      <c r="M18" s="29">
        <v>15</v>
      </c>
      <c r="N18" s="24">
        <f>final_electricity__1619[[#This Row],[ Building 1 (kWh)]]*'Conversion Technologies'!$E$2</f>
        <v>4.6400000000000004E-2</v>
      </c>
      <c r="O18" s="24">
        <f>final_electricity__1619[[#This Row],[Building 2 (kWh)]]*'Conversion Technologies'!$E$2</f>
        <v>65.163800000000009</v>
      </c>
      <c r="P18" s="24">
        <f>final_electricity__1619[[#This Row],[Building 3 (kWh)]]*'Conversion Technologies'!$E$2</f>
        <v>73.439599999999999</v>
      </c>
      <c r="Q18" s="24">
        <f>final_electricity__1615152[[#This Row],[ Building 1 (kWh)]]+final_electricity__1615152[[#This Row],[Building 2 (kWh)]]+final_electricity__1615152[[#This Row],[Building 3 (kWh)]]</f>
        <v>138.64980000000003</v>
      </c>
    </row>
    <row r="19" spans="1:17" x14ac:dyDescent="0.35">
      <c r="A19" s="29">
        <v>16</v>
      </c>
      <c r="B19" s="24">
        <f>final_electricity__16[[#This Row],[ Building 1 (kWh)]]</f>
        <v>0.161</v>
      </c>
      <c r="C19" s="24">
        <f>final_electricity__16[[#This Row],[Building 2 (kWh)]]</f>
        <v>305.94099999999997</v>
      </c>
      <c r="D19" s="24">
        <f>final_electricity__16[[#This Row],[Building 3 (kWh)]]</f>
        <v>356.8</v>
      </c>
      <c r="E19" s="24">
        <f>final_electricity__16[[#This Row],[Community]]</f>
        <v>662.90200000000004</v>
      </c>
      <c r="F19" s="23"/>
      <c r="G19" s="29">
        <v>16</v>
      </c>
      <c r="H19" s="24">
        <f>final_electricity__1619[[#This Row],[ Building 1 (kWh)]]*tariffs[[#This Row],[Building 1 (buy)]]</f>
        <v>3.1491600000000002E-2</v>
      </c>
      <c r="I19" s="24">
        <f>final_electricity__1619[[#This Row],[Building 2 (kWh)]]*tariffs[[#This Row],[Building 2 (buy)]]</f>
        <v>48.002142900000003</v>
      </c>
      <c r="J19" s="24">
        <f>final_electricity__1619[[#This Row],[Building 3 (kWh)]]*tariffs[[#This Row],[Building 3 (buy)]]</f>
        <v>59.728319999999997</v>
      </c>
      <c r="K19" s="24">
        <f>final_electricity__1619[[#This Row],[Community]]*tariffs[[#This Row],[Building 2 (buy)]]</f>
        <v>104.00932380000002</v>
      </c>
      <c r="M19" s="29">
        <v>16</v>
      </c>
      <c r="N19" s="24">
        <f>final_electricity__1619[[#This Row],[ Building 1 (kWh)]]*'Conversion Technologies'!$E$2</f>
        <v>3.2199999999999999E-2</v>
      </c>
      <c r="O19" s="24">
        <f>final_electricity__1619[[#This Row],[Building 2 (kWh)]]*'Conversion Technologies'!$E$2</f>
        <v>61.188199999999995</v>
      </c>
      <c r="P19" s="24">
        <f>final_electricity__1619[[#This Row],[Building 3 (kWh)]]*'Conversion Technologies'!$E$2</f>
        <v>71.36</v>
      </c>
      <c r="Q19" s="24">
        <f>final_electricity__1615152[[#This Row],[ Building 1 (kWh)]]+final_electricity__1615152[[#This Row],[Building 2 (kWh)]]+final_electricity__1615152[[#This Row],[Building 3 (kWh)]]</f>
        <v>132.5804</v>
      </c>
    </row>
    <row r="20" spans="1:17" x14ac:dyDescent="0.35">
      <c r="A20" s="29">
        <v>17</v>
      </c>
      <c r="B20" s="24">
        <f>final_electricity__16[[#This Row],[ Building 1 (kWh)]]</f>
        <v>0.28699999999999998</v>
      </c>
      <c r="C20" s="24">
        <f>final_electricity__16[[#This Row],[Building 2 (kWh)]]</f>
        <v>272.05799999999999</v>
      </c>
      <c r="D20" s="24">
        <f>final_electricity__16[[#This Row],[Building 3 (kWh)]]</f>
        <v>330.608</v>
      </c>
      <c r="E20" s="24">
        <f>final_electricity__16[[#This Row],[Community]]</f>
        <v>602.95299999999997</v>
      </c>
      <c r="F20" s="23"/>
      <c r="G20" s="29">
        <v>17</v>
      </c>
      <c r="H20" s="24">
        <f>final_electricity__1619[[#This Row],[ Building 1 (kWh)]]*tariffs[[#This Row],[Building 1 (buy)]]</f>
        <v>5.6137199999999991E-2</v>
      </c>
      <c r="I20" s="24">
        <f>final_electricity__1619[[#This Row],[Building 2 (kWh)]]*tariffs[[#This Row],[Building 2 (buy)]]</f>
        <v>42.685900199999999</v>
      </c>
      <c r="J20" s="24">
        <f>final_electricity__1619[[#This Row],[Building 3 (kWh)]]*tariffs[[#This Row],[Building 3 (buy)]]</f>
        <v>55.3437792</v>
      </c>
      <c r="K20" s="24">
        <f>final_electricity__1619[[#This Row],[Community]]*tariffs[[#This Row],[Building 2 (buy)]]</f>
        <v>94.603325699999999</v>
      </c>
      <c r="M20" s="29">
        <v>17</v>
      </c>
      <c r="N20" s="24">
        <f>final_electricity__1619[[#This Row],[ Building 1 (kWh)]]*'Conversion Technologies'!$E$2</f>
        <v>5.74E-2</v>
      </c>
      <c r="O20" s="24">
        <f>final_electricity__1619[[#This Row],[Building 2 (kWh)]]*'Conversion Technologies'!$E$2</f>
        <v>54.4116</v>
      </c>
      <c r="P20" s="24">
        <f>final_electricity__1619[[#This Row],[Building 3 (kWh)]]*'Conversion Technologies'!$E$2</f>
        <v>66.121600000000001</v>
      </c>
      <c r="Q20" s="24">
        <f>final_electricity__1615152[[#This Row],[ Building 1 (kWh)]]+final_electricity__1615152[[#This Row],[Building 2 (kWh)]]+final_electricity__1615152[[#This Row],[Building 3 (kWh)]]</f>
        <v>120.59059999999999</v>
      </c>
    </row>
    <row r="21" spans="1:17" x14ac:dyDescent="0.35">
      <c r="A21" s="29">
        <v>18</v>
      </c>
      <c r="B21" s="24">
        <f>final_electricity__16[[#This Row],[ Building 1 (kWh)]]</f>
        <v>0.30199999999999999</v>
      </c>
      <c r="C21" s="24">
        <f>final_electricity__16[[#This Row],[Building 2 (kWh)]]</f>
        <v>225.411</v>
      </c>
      <c r="D21" s="24">
        <f>final_electricity__16[[#This Row],[Building 3 (kWh)]]</f>
        <v>282.596</v>
      </c>
      <c r="E21" s="24">
        <f>final_electricity__16[[#This Row],[Community]]</f>
        <v>508.30899999999997</v>
      </c>
      <c r="F21" s="23"/>
      <c r="G21" s="29">
        <v>18</v>
      </c>
      <c r="H21" s="24">
        <f>final_electricity__1619[[#This Row],[ Building 1 (kWh)]]*tariffs[[#This Row],[Building 1 (buy)]]</f>
        <v>5.9071199999999997E-2</v>
      </c>
      <c r="I21" s="24">
        <f>final_electricity__1619[[#This Row],[Building 2 (kWh)]]*tariffs[[#This Row],[Building 2 (buy)]]</f>
        <v>35.366985900000003</v>
      </c>
      <c r="J21" s="24">
        <f>final_electricity__1619[[#This Row],[Building 3 (kWh)]]*tariffs[[#This Row],[Building 3 (buy)]]</f>
        <v>47.306570399999998</v>
      </c>
      <c r="K21" s="24">
        <f>final_electricity__1619[[#This Row],[Community]]*tariffs[[#This Row],[Building 2 (buy)]]</f>
        <v>79.753682100000006</v>
      </c>
      <c r="M21" s="29">
        <v>18</v>
      </c>
      <c r="N21" s="24">
        <f>final_electricity__1619[[#This Row],[ Building 1 (kWh)]]*'Conversion Technologies'!$E$2</f>
        <v>6.0400000000000002E-2</v>
      </c>
      <c r="O21" s="24">
        <f>final_electricity__1619[[#This Row],[Building 2 (kWh)]]*'Conversion Technologies'!$E$2</f>
        <v>45.0822</v>
      </c>
      <c r="P21" s="24">
        <f>final_electricity__1619[[#This Row],[Building 3 (kWh)]]*'Conversion Technologies'!$E$2</f>
        <v>56.519200000000005</v>
      </c>
      <c r="Q21" s="24">
        <f>final_electricity__1615152[[#This Row],[ Building 1 (kWh)]]+final_electricity__1615152[[#This Row],[Building 2 (kWh)]]+final_electricity__1615152[[#This Row],[Building 3 (kWh)]]</f>
        <v>101.6618</v>
      </c>
    </row>
    <row r="22" spans="1:17" x14ac:dyDescent="0.35">
      <c r="A22" s="29">
        <v>19</v>
      </c>
      <c r="B22" s="24">
        <f>final_electricity__16[[#This Row],[ Building 1 (kWh)]]</f>
        <v>0.154</v>
      </c>
      <c r="C22" s="24">
        <f>final_electricity__16[[#This Row],[Building 2 (kWh)]]</f>
        <v>200.375</v>
      </c>
      <c r="D22" s="24">
        <f>final_electricity__16[[#This Row],[Building 3 (kWh)]]</f>
        <v>220.05699999999999</v>
      </c>
      <c r="E22" s="24">
        <f>final_electricity__16[[#This Row],[Community]]</f>
        <v>420.58600000000001</v>
      </c>
      <c r="F22" s="23"/>
      <c r="G22" s="29">
        <v>19</v>
      </c>
      <c r="H22" s="24">
        <f>final_electricity__1619[[#This Row],[ Building 1 (kWh)]]*tariffs[[#This Row],[Building 1 (buy)]]</f>
        <v>3.0122400000000001E-2</v>
      </c>
      <c r="I22" s="24">
        <f>final_electricity__1619[[#This Row],[Building 2 (kWh)]]*tariffs[[#This Row],[Building 2 (buy)]]</f>
        <v>35.185850000000002</v>
      </c>
      <c r="J22" s="24">
        <f>final_electricity__1619[[#This Row],[Building 3 (kWh)]]*tariffs[[#This Row],[Building 3 (buy)]]</f>
        <v>38.620003499999996</v>
      </c>
      <c r="K22" s="24">
        <f>final_electricity__1619[[#This Row],[Community]]*tariffs[[#This Row],[Building 2 (buy)]]</f>
        <v>73.854901600000005</v>
      </c>
      <c r="M22" s="29">
        <v>19</v>
      </c>
      <c r="N22" s="24">
        <f>final_electricity__1619[[#This Row],[ Building 1 (kWh)]]*'Conversion Technologies'!$E$2</f>
        <v>3.0800000000000001E-2</v>
      </c>
      <c r="O22" s="24">
        <f>final_electricity__1619[[#This Row],[Building 2 (kWh)]]*'Conversion Technologies'!$E$2</f>
        <v>40.075000000000003</v>
      </c>
      <c r="P22" s="24">
        <f>final_electricity__1619[[#This Row],[Building 3 (kWh)]]*'Conversion Technologies'!$E$2</f>
        <v>44.011400000000002</v>
      </c>
      <c r="Q22" s="24">
        <f>final_electricity__1615152[[#This Row],[ Building 1 (kWh)]]+final_electricity__1615152[[#This Row],[Building 2 (kWh)]]+final_electricity__1615152[[#This Row],[Building 3 (kWh)]]</f>
        <v>84.117199999999997</v>
      </c>
    </row>
    <row r="23" spans="1:17" x14ac:dyDescent="0.35">
      <c r="A23" s="29">
        <v>20</v>
      </c>
      <c r="B23" s="24">
        <f>final_electricity__16[[#This Row],[ Building 1 (kWh)]]</f>
        <v>0.65300000000000002</v>
      </c>
      <c r="C23" s="24">
        <f>final_electricity__16[[#This Row],[Building 2 (kWh)]]</f>
        <v>163.98</v>
      </c>
      <c r="D23" s="24">
        <f>final_electricity__16[[#This Row],[Building 3 (kWh)]]</f>
        <v>178.715</v>
      </c>
      <c r="E23" s="24">
        <f>final_electricity__16[[#This Row],[Community]]</f>
        <v>343.34799999999996</v>
      </c>
      <c r="F23" s="23"/>
      <c r="G23" s="29">
        <v>20</v>
      </c>
      <c r="H23" s="24">
        <f>final_electricity__1619[[#This Row],[ Building 1 (kWh)]]*tariffs[[#This Row],[Building 1 (buy)]]</f>
        <v>0.1277268</v>
      </c>
      <c r="I23" s="24">
        <f>final_electricity__1619[[#This Row],[Building 2 (kWh)]]*tariffs[[#This Row],[Building 2 (buy)]]</f>
        <v>28.794888</v>
      </c>
      <c r="J23" s="24">
        <f>final_electricity__1619[[#This Row],[Building 3 (kWh)]]*tariffs[[#This Row],[Building 3 (buy)]]</f>
        <v>31.364482499999998</v>
      </c>
      <c r="K23" s="24">
        <f>final_electricity__1619[[#This Row],[Community]]*tariffs[[#This Row],[Building 2 (buy)]]</f>
        <v>60.291908799999995</v>
      </c>
      <c r="M23" s="29">
        <v>20</v>
      </c>
      <c r="N23" s="24">
        <f>final_electricity__1619[[#This Row],[ Building 1 (kWh)]]*'Conversion Technologies'!$E$2</f>
        <v>0.13060000000000002</v>
      </c>
      <c r="O23" s="24">
        <f>final_electricity__1619[[#This Row],[Building 2 (kWh)]]*'Conversion Technologies'!$E$2</f>
        <v>32.795999999999999</v>
      </c>
      <c r="P23" s="24">
        <f>final_electricity__1619[[#This Row],[Building 3 (kWh)]]*'Conversion Technologies'!$E$2</f>
        <v>35.743000000000002</v>
      </c>
      <c r="Q23" s="24">
        <f>final_electricity__1615152[[#This Row],[ Building 1 (kWh)]]+final_electricity__1615152[[#This Row],[Building 2 (kWh)]]+final_electricity__1615152[[#This Row],[Building 3 (kWh)]]</f>
        <v>68.669600000000003</v>
      </c>
    </row>
    <row r="24" spans="1:17" x14ac:dyDescent="0.35">
      <c r="A24" s="29">
        <v>21</v>
      </c>
      <c r="B24" s="24">
        <f>final_electricity__16[[#This Row],[ Building 1 (kWh)]]</f>
        <v>1.663</v>
      </c>
      <c r="C24" s="24">
        <f>final_electricity__16[[#This Row],[Building 2 (kWh)]]</f>
        <v>148.77500000000001</v>
      </c>
      <c r="D24" s="24">
        <f>final_electricity__16[[#This Row],[Building 3 (kWh)]]</f>
        <v>153.333</v>
      </c>
      <c r="E24" s="24">
        <f>final_electricity__16[[#This Row],[Community]]</f>
        <v>303.77100000000002</v>
      </c>
      <c r="F24" s="23"/>
      <c r="G24" s="29">
        <v>21</v>
      </c>
      <c r="H24" s="24">
        <f>final_electricity__1619[[#This Row],[ Building 1 (kWh)]]*tariffs[[#This Row],[Building 1 (buy)]]</f>
        <v>0.32528279999999998</v>
      </c>
      <c r="I24" s="24">
        <f>final_electricity__1619[[#This Row],[Building 2 (kWh)]]*tariffs[[#This Row],[Building 2 (buy)]]</f>
        <v>23.342797500000003</v>
      </c>
      <c r="J24" s="24">
        <f>final_electricity__1619[[#This Row],[Building 3 (kWh)]]*tariffs[[#This Row],[Building 3 (buy)]]</f>
        <v>25.667944199999997</v>
      </c>
      <c r="K24" s="24">
        <f>final_electricity__1619[[#This Row],[Community]]*tariffs[[#This Row],[Building 2 (buy)]]</f>
        <v>47.661669900000007</v>
      </c>
      <c r="M24" s="29">
        <v>21</v>
      </c>
      <c r="N24" s="24">
        <f>final_electricity__1619[[#This Row],[ Building 1 (kWh)]]*'Conversion Technologies'!$E$2</f>
        <v>0.33260000000000001</v>
      </c>
      <c r="O24" s="24">
        <f>final_electricity__1619[[#This Row],[Building 2 (kWh)]]*'Conversion Technologies'!$E$2</f>
        <v>29.755000000000003</v>
      </c>
      <c r="P24" s="24">
        <f>final_electricity__1619[[#This Row],[Building 3 (kWh)]]*'Conversion Technologies'!$E$2</f>
        <v>30.666600000000003</v>
      </c>
      <c r="Q24" s="24">
        <f>final_electricity__1615152[[#This Row],[ Building 1 (kWh)]]+final_electricity__1615152[[#This Row],[Building 2 (kWh)]]+final_electricity__1615152[[#This Row],[Building 3 (kWh)]]</f>
        <v>60.754200000000004</v>
      </c>
    </row>
    <row r="25" spans="1:17" x14ac:dyDescent="0.35">
      <c r="A25" s="29">
        <v>22</v>
      </c>
      <c r="B25" s="24">
        <f>final_electricity__16[[#This Row],[ Building 1 (kWh)]]</f>
        <v>0.755</v>
      </c>
      <c r="C25" s="24">
        <f>final_electricity__16[[#This Row],[Building 2 (kWh)]]</f>
        <v>128.393</v>
      </c>
      <c r="D25" s="24">
        <f>final_electricity__16[[#This Row],[Building 3 (kWh)]]</f>
        <v>138.67599999999999</v>
      </c>
      <c r="E25" s="24">
        <f>final_electricity__16[[#This Row],[Community]]</f>
        <v>267.82399999999996</v>
      </c>
      <c r="F25" s="23"/>
      <c r="G25" s="29">
        <v>22</v>
      </c>
      <c r="H25" s="24">
        <f>final_electricity__1619[[#This Row],[ Building 1 (kWh)]]*tariffs[[#This Row],[Building 1 (buy)]]</f>
        <v>0.147678</v>
      </c>
      <c r="I25" s="24">
        <f>final_electricity__1619[[#This Row],[Building 2 (kWh)]]*tariffs[[#This Row],[Building 2 (buy)]]</f>
        <v>20.1448617</v>
      </c>
      <c r="J25" s="24">
        <f>final_electricity__1619[[#This Row],[Building 3 (kWh)]]*tariffs[[#This Row],[Building 3 (buy)]]</f>
        <v>23.214362399999995</v>
      </c>
      <c r="K25" s="24">
        <f>final_electricity__1619[[#This Row],[Community]]*tariffs[[#This Row],[Building 2 (buy)]]</f>
        <v>42.021585599999995</v>
      </c>
      <c r="M25" s="29">
        <v>22</v>
      </c>
      <c r="N25" s="24">
        <f>final_electricity__1619[[#This Row],[ Building 1 (kWh)]]*'Conversion Technologies'!$E$2</f>
        <v>0.15100000000000002</v>
      </c>
      <c r="O25" s="24">
        <f>final_electricity__1619[[#This Row],[Building 2 (kWh)]]*'Conversion Technologies'!$E$2</f>
        <v>25.678600000000003</v>
      </c>
      <c r="P25" s="24">
        <f>final_electricity__1619[[#This Row],[Building 3 (kWh)]]*'Conversion Technologies'!$E$2</f>
        <v>27.735199999999999</v>
      </c>
      <c r="Q25" s="24">
        <f>final_electricity__1615152[[#This Row],[ Building 1 (kWh)]]+final_electricity__1615152[[#This Row],[Building 2 (kWh)]]+final_electricity__1615152[[#This Row],[Building 3 (kWh)]]</f>
        <v>53.564800000000005</v>
      </c>
    </row>
    <row r="26" spans="1:17" x14ac:dyDescent="0.35">
      <c r="A26" s="29">
        <v>23</v>
      </c>
      <c r="B26" s="24">
        <f>final_electricity__16[[#This Row],[ Building 1 (kWh)]]</f>
        <v>0.44400000000000001</v>
      </c>
      <c r="C26" s="24">
        <f>final_electricity__16[[#This Row],[Building 2 (kWh)]]</f>
        <v>121.883</v>
      </c>
      <c r="D26" s="24">
        <f>final_electricity__16[[#This Row],[Building 3 (kWh)]]</f>
        <v>135.27199999999999</v>
      </c>
      <c r="E26" s="24">
        <f>final_electricity__16[[#This Row],[Community]]</f>
        <v>257.59899999999999</v>
      </c>
      <c r="F26" s="23"/>
      <c r="G26" s="29">
        <v>23</v>
      </c>
      <c r="H26" s="24">
        <f>final_electricity__1619[[#This Row],[ Building 1 (kWh)]]*tariffs[[#This Row],[Building 1 (buy)]]</f>
        <v>8.6846400000000004E-2</v>
      </c>
      <c r="I26" s="24">
        <f>final_electricity__1619[[#This Row],[Building 2 (kWh)]]*tariffs[[#This Row],[Building 2 (buy)]]</f>
        <v>19.123442700000002</v>
      </c>
      <c r="J26" s="24">
        <f>final_electricity__1619[[#This Row],[Building 3 (kWh)]]*tariffs[[#This Row],[Building 3 (buy)]]</f>
        <v>22.644532799999997</v>
      </c>
      <c r="K26" s="24">
        <f>final_electricity__1619[[#This Row],[Community]]*tariffs[[#This Row],[Building 2 (buy)]]</f>
        <v>40.417283099999999</v>
      </c>
      <c r="M26" s="29">
        <v>23</v>
      </c>
      <c r="N26" s="24">
        <f>final_electricity__1619[[#This Row],[ Building 1 (kWh)]]*'Conversion Technologies'!$E$2</f>
        <v>8.8800000000000004E-2</v>
      </c>
      <c r="O26" s="24">
        <f>final_electricity__1619[[#This Row],[Building 2 (kWh)]]*'Conversion Technologies'!$E$2</f>
        <v>24.3766</v>
      </c>
      <c r="P26" s="24">
        <f>final_electricity__1619[[#This Row],[Building 3 (kWh)]]*'Conversion Technologies'!$E$2</f>
        <v>27.054400000000001</v>
      </c>
      <c r="Q26" s="24">
        <f>final_electricity__1615152[[#This Row],[ Building 1 (kWh)]]+final_electricity__1615152[[#This Row],[Building 2 (kWh)]]+final_electricity__1615152[[#This Row],[Building 3 (kWh)]]</f>
        <v>51.519800000000004</v>
      </c>
    </row>
    <row r="27" spans="1:17" x14ac:dyDescent="0.35">
      <c r="A27" s="30" t="s">
        <v>165</v>
      </c>
      <c r="B27" s="24">
        <f>SUM(B3:B26)</f>
        <v>7.8369999999999997</v>
      </c>
      <c r="C27" s="24">
        <f t="shared" ref="C27:E27" si="0">SUM(C3:C26)</f>
        <v>4859.128999999999</v>
      </c>
      <c r="D27" s="24">
        <f t="shared" si="0"/>
        <v>5688.4694</v>
      </c>
      <c r="E27" s="24">
        <f t="shared" si="0"/>
        <v>10555.435399999998</v>
      </c>
      <c r="F27" s="23"/>
      <c r="G27" s="27" t="s">
        <v>165</v>
      </c>
      <c r="H27" s="27">
        <f>SUM(H3:H26)</f>
        <v>1.4541977999999998</v>
      </c>
      <c r="I27" s="27">
        <f t="shared" ref="I27:J27" si="1">SUM(I3:I26)</f>
        <v>736.45668079999996</v>
      </c>
      <c r="J27" s="27">
        <f t="shared" si="1"/>
        <v>920.44633620000002</v>
      </c>
      <c r="K27" s="27">
        <f>SUM(K3:K26)</f>
        <v>1611.3300466400003</v>
      </c>
      <c r="M27" s="27" t="s">
        <v>165</v>
      </c>
      <c r="N27" s="27">
        <f>SUM(N3:N26)</f>
        <v>1.5674000000000003</v>
      </c>
      <c r="O27" s="27">
        <f t="shared" ref="O27:P27" si="2">SUM(O3:O26)</f>
        <v>971.82580000000019</v>
      </c>
      <c r="P27" s="27">
        <f t="shared" si="2"/>
        <v>1137.6938800000003</v>
      </c>
      <c r="Q27" s="27">
        <f>final_electricity__1615152[[#This Row],[ Building 1 (kWh)]]+final_electricity__1615152[[#This Row],[Building 2 (kWh)]]+final_electricity__1615152[[#This Row],[Building 3 (kWh)]]</f>
        <v>2111.0870800000002</v>
      </c>
    </row>
  </sheetData>
  <mergeCells count="3">
    <mergeCell ref="A1:E1"/>
    <mergeCell ref="G1:K1"/>
    <mergeCell ref="M1:Q1"/>
  </mergeCells>
  <pageMargins left="0.7" right="0.7" top="0.75" bottom="0.75" header="0.3" footer="0.3"/>
  <ignoredErrors>
    <ignoredError sqref="E3 E27 K27" calculatedColumn="1"/>
  </ignoredErrors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E0A59-B16A-4F3A-9F0A-B12A6493B78F}">
  <sheetPr codeName="Sheet7"/>
  <dimension ref="A1:AD32"/>
  <sheetViews>
    <sheetView topLeftCell="M1" zoomScale="60" zoomScaleNormal="60" workbookViewId="0">
      <selection activeCell="AB31" sqref="AB31"/>
    </sheetView>
  </sheetViews>
  <sheetFormatPr defaultRowHeight="14.5" x14ac:dyDescent="0.35"/>
  <cols>
    <col min="1" max="1" width="11.1796875" customWidth="1"/>
    <col min="2" max="2" width="21.81640625" customWidth="1"/>
    <col min="3" max="3" width="19.36328125" customWidth="1"/>
    <col min="4" max="4" width="19.6328125" customWidth="1"/>
    <col min="5" max="5" width="16.6328125" customWidth="1"/>
    <col min="7" max="7" width="11.453125" customWidth="1"/>
    <col min="8" max="8" width="20.81640625" customWidth="1"/>
    <col min="9" max="9" width="20.08984375" customWidth="1"/>
    <col min="10" max="10" width="21.08984375" customWidth="1"/>
    <col min="11" max="11" width="24.81640625" customWidth="1"/>
    <col min="12" max="12" width="11.81640625" customWidth="1"/>
    <col min="14" max="14" width="11.26953125" customWidth="1"/>
    <col min="15" max="15" width="20.81640625" customWidth="1"/>
    <col min="16" max="16" width="19.453125" customWidth="1"/>
    <col min="17" max="17" width="18.81640625" customWidth="1"/>
    <col min="18" max="18" width="16.7265625" customWidth="1"/>
    <col min="20" max="20" width="10.54296875" customWidth="1"/>
    <col min="21" max="21" width="22.7265625" customWidth="1"/>
    <col min="22" max="22" width="20.26953125" customWidth="1"/>
    <col min="23" max="23" width="19.1796875" customWidth="1"/>
    <col min="24" max="24" width="16.6328125" customWidth="1"/>
    <col min="26" max="26" width="11" customWidth="1"/>
    <col min="27" max="27" width="20.26953125" customWidth="1"/>
    <col min="28" max="28" width="19.54296875" customWidth="1"/>
    <col min="29" max="29" width="20.08984375" customWidth="1"/>
    <col min="30" max="30" width="16.1796875" customWidth="1"/>
  </cols>
  <sheetData>
    <row r="1" spans="1:30" ht="18.5" x14ac:dyDescent="0.45">
      <c r="A1" s="106" t="s">
        <v>168</v>
      </c>
      <c r="B1" s="106"/>
      <c r="C1" s="106"/>
      <c r="D1" s="106"/>
      <c r="E1" s="106"/>
      <c r="G1" s="106" t="s">
        <v>169</v>
      </c>
      <c r="H1" s="106"/>
      <c r="I1" s="106"/>
      <c r="J1" s="106"/>
      <c r="K1" s="106"/>
      <c r="L1" s="106"/>
      <c r="N1" s="106" t="s">
        <v>172</v>
      </c>
      <c r="O1" s="106"/>
      <c r="P1" s="106"/>
      <c r="Q1" s="106"/>
      <c r="R1" s="106"/>
      <c r="T1" s="106" t="s">
        <v>164</v>
      </c>
      <c r="U1" s="106"/>
      <c r="V1" s="106"/>
      <c r="W1" s="106"/>
      <c r="X1" s="106"/>
      <c r="Z1" s="106" t="s">
        <v>185</v>
      </c>
      <c r="AA1" s="106"/>
      <c r="AB1" s="106"/>
      <c r="AC1" s="106"/>
      <c r="AD1" s="106"/>
    </row>
    <row r="2" spans="1:30" x14ac:dyDescent="0.35">
      <c r="A2" s="24" t="s">
        <v>3</v>
      </c>
      <c r="B2" s="24" t="s">
        <v>79</v>
      </c>
      <c r="C2" s="24" t="s">
        <v>80</v>
      </c>
      <c r="D2" s="24" t="s">
        <v>0</v>
      </c>
      <c r="E2" s="24" t="s">
        <v>8</v>
      </c>
      <c r="G2" s="24" t="s">
        <v>3</v>
      </c>
      <c r="H2" s="24" t="s">
        <v>140</v>
      </c>
      <c r="I2" s="24" t="s">
        <v>141</v>
      </c>
      <c r="J2" s="24" t="s">
        <v>170</v>
      </c>
      <c r="K2" s="24" t="s">
        <v>171</v>
      </c>
      <c r="L2" s="24" t="s">
        <v>165</v>
      </c>
      <c r="N2" s="24" t="s">
        <v>3</v>
      </c>
      <c r="O2" s="24" t="s">
        <v>79</v>
      </c>
      <c r="P2" s="24" t="s">
        <v>80</v>
      </c>
      <c r="Q2" s="24" t="s">
        <v>0</v>
      </c>
      <c r="R2" s="24" t="s">
        <v>8</v>
      </c>
      <c r="T2" s="24" t="s">
        <v>3</v>
      </c>
      <c r="U2" s="24" t="s">
        <v>79</v>
      </c>
      <c r="V2" s="24" t="s">
        <v>80</v>
      </c>
      <c r="W2" s="24" t="s">
        <v>0</v>
      </c>
      <c r="X2" s="24" t="s">
        <v>8</v>
      </c>
      <c r="Z2" s="24" t="s">
        <v>3</v>
      </c>
      <c r="AA2" s="24" t="s">
        <v>79</v>
      </c>
      <c r="AB2" s="24" t="s">
        <v>80</v>
      </c>
      <c r="AC2" s="24" t="s">
        <v>0</v>
      </c>
      <c r="AD2" s="24" t="s">
        <v>8</v>
      </c>
    </row>
    <row r="3" spans="1:30" x14ac:dyDescent="0.35">
      <c r="A3" s="29">
        <v>0</v>
      </c>
      <c r="B3" s="24">
        <f>final_electricity__16[[#This Row],[ Building 1 (kWh)]]</f>
        <v>0.16300000000000001</v>
      </c>
      <c r="C3" s="24">
        <f>final_electricity__16[[#This Row],[Building 2 (kWh)]]</f>
        <v>126.105</v>
      </c>
      <c r="D3" s="24">
        <f>final_electricity__16[[#This Row],[Building 3 (kWh)]]</f>
        <v>122.83199999999999</v>
      </c>
      <c r="E3" s="24">
        <f>final_electricity__16[[#This Row],[Community]]</f>
        <v>249.1</v>
      </c>
      <c r="G3" s="29">
        <v>0</v>
      </c>
      <c r="H3" s="24">
        <f>climate_data21317[[#This Row],[Heating Electricity (Wh)]]/1000</f>
        <v>6.363281650000005E-2</v>
      </c>
      <c r="I3" s="24">
        <f>climate_data21317[[#This Row],[Cooling Electricity (Wh)]]/1000</f>
        <v>0</v>
      </c>
      <c r="J3" s="24">
        <f>0</f>
        <v>0</v>
      </c>
      <c r="K3" s="24">
        <f>Services!L34</f>
        <v>2.0684523809523809</v>
      </c>
      <c r="L3" s="24">
        <f>SUM(final_electricity__16192425[[#This Row],[Heating (kWh)]]:final_electricity__16192425[[#This Row],[Water heating (kWh)]])</f>
        <v>2.1320851974523811</v>
      </c>
      <c r="N3" s="29">
        <v>0</v>
      </c>
      <c r="O3" s="24">
        <f>final_electricity__161924[[#This Row],[ Building 1 (kWh)]]+final_electricity__16192425[[#This Row],[Total]]</f>
        <v>2.2950851974523809</v>
      </c>
      <c r="P3" s="24">
        <f>final_electricity__161924[[#This Row],[Building 2 (kWh)]]</f>
        <v>126.105</v>
      </c>
      <c r="Q3" s="24">
        <f>final_electricity__161924[[#This Row],[Building 3 (kWh)]]</f>
        <v>122.83199999999999</v>
      </c>
      <c r="R3" s="24">
        <f>SUM(final_electricity__16192426[[#This Row],[ Building 1 (kWh)]]:final_electricity__16192426[[#This Row],[Building 3 (kWh)]])</f>
        <v>251.23208519745239</v>
      </c>
      <c r="T3" s="29">
        <v>0</v>
      </c>
      <c r="U3" s="24">
        <f>final_electricity__16192426[[#This Row],[ Building 1 (kWh)]]*tariffs[[#This Row],[Building 1 (buy)]]</f>
        <v>0.25016428652230954</v>
      </c>
      <c r="V3" s="24">
        <f>final_electricity__16192426[[#This Row],[Building 2 (kWh)]]*tariffs[[#This Row],[Building 2 (buy)]]</f>
        <v>14.4642435</v>
      </c>
      <c r="W3" s="24">
        <f>final_electricity__16192426[[#This Row],[Building 3 (kWh)]]*tariffs[[#This Row],[Building 3 (buy)]]</f>
        <v>14.887238399999999</v>
      </c>
      <c r="X3" s="24">
        <f>final_electricity__16192426[[#This Row],[Community]]*tariffs[[#This Row],[Building 2 (buy)]]</f>
        <v>28.816320172147787</v>
      </c>
      <c r="Z3" s="29">
        <v>0</v>
      </c>
      <c r="AA3" s="24">
        <f>final_electricity__16192426[[#This Row],[ Building 1 (kWh)]]*'Conversion Technologies'!$E$2</f>
        <v>0.45901703949047623</v>
      </c>
      <c r="AB3" s="24">
        <f>final_electricity__16192426[[#This Row],[Building 2 (kWh)]]*'Conversion Technologies'!$E$2</f>
        <v>25.221000000000004</v>
      </c>
      <c r="AC3" s="24">
        <f>final_electricity__16192426[[#This Row],[Building 3 (kWh)]]*'Conversion Technologies'!$E$2</f>
        <v>24.566400000000002</v>
      </c>
      <c r="AD3" s="24">
        <f>final_electricity__16151523[[#This Row],[ Building 1 (kWh)]]+final_electricity__16151523[[#This Row],[Building 2 (kWh)]]+final_electricity__16151523[[#This Row],[Building 3 (kWh)]]</f>
        <v>50.246417039490481</v>
      </c>
    </row>
    <row r="4" spans="1:30" x14ac:dyDescent="0.35">
      <c r="A4" s="29">
        <v>1</v>
      </c>
      <c r="B4" s="24">
        <f>final_electricity__16[[#This Row],[ Building 1 (kWh)]]</f>
        <v>0.14899999999999999</v>
      </c>
      <c r="C4" s="24">
        <f>final_electricity__16[[#This Row],[Building 2 (kWh)]]</f>
        <v>124.566</v>
      </c>
      <c r="D4" s="24">
        <f>final_electricity__16[[#This Row],[Building 3 (kWh)]]</f>
        <v>121.10599999999999</v>
      </c>
      <c r="E4" s="24">
        <f>final_electricity__16[[#This Row],[Community]]</f>
        <v>245.821</v>
      </c>
      <c r="G4" s="29">
        <v>1</v>
      </c>
      <c r="H4" s="24">
        <f>climate_data21317[[#This Row],[Heating Electricity (Wh)]]/1000</f>
        <v>7.5958144600000041E-2</v>
      </c>
      <c r="I4" s="24">
        <f>climate_data21317[[#This Row],[Cooling Electricity (Wh)]]/1000</f>
        <v>0</v>
      </c>
      <c r="J4" s="24">
        <v>0</v>
      </c>
      <c r="K4" s="24">
        <v>0</v>
      </c>
      <c r="L4" s="24">
        <f>SUM(final_electricity__16192425[[#This Row],[Heating (kWh)]]:final_electricity__16192425[[#This Row],[Water heating (kWh)]])</f>
        <v>7.5958144600000041E-2</v>
      </c>
      <c r="N4" s="29">
        <v>1</v>
      </c>
      <c r="O4" s="24">
        <f>final_electricity__161924[[#This Row],[ Building 1 (kWh)]]+final_electricity__16192425[[#This Row],[Total]]</f>
        <v>0.22495814460000002</v>
      </c>
      <c r="P4" s="24">
        <f>final_electricity__161924[[#This Row],[Building 2 (kWh)]]</f>
        <v>124.566</v>
      </c>
      <c r="Q4" s="24">
        <f>final_electricity__161924[[#This Row],[Building 3 (kWh)]]</f>
        <v>121.10599999999999</v>
      </c>
      <c r="R4" s="24">
        <f>SUM(final_electricity__16192426[[#This Row],[ Building 1 (kWh)]]:final_electricity__16192426[[#This Row],[Building 3 (kWh)]])</f>
        <v>245.89695814459998</v>
      </c>
      <c r="T4" s="29">
        <v>1</v>
      </c>
      <c r="U4" s="24">
        <f>final_electricity__16192426[[#This Row],[ Building 1 (kWh)]]*tariffs[[#This Row],[Building 1 (buy)]]</f>
        <v>2.4520437761400001E-2</v>
      </c>
      <c r="V4" s="24">
        <f>final_electricity__16192426[[#This Row],[Building 2 (kWh)]]*tariffs[[#This Row],[Building 2 (buy)]]</f>
        <v>14.287720199999999</v>
      </c>
      <c r="W4" s="24">
        <f>final_electricity__16192426[[#This Row],[Building 3 (kWh)]]*tariffs[[#This Row],[Building 3 (buy)]]</f>
        <v>14.6780472</v>
      </c>
      <c r="X4" s="24">
        <f>final_electricity__16192426[[#This Row],[Community]]*tariffs[[#This Row],[Building 2 (buy)]]</f>
        <v>28.204381099185618</v>
      </c>
      <c r="Z4" s="29">
        <v>1</v>
      </c>
      <c r="AA4" s="24">
        <f>final_electricity__16192426[[#This Row],[ Building 1 (kWh)]]*'Conversion Technologies'!$E$2</f>
        <v>4.4991628920000006E-2</v>
      </c>
      <c r="AB4" s="24">
        <f>final_electricity__16192426[[#This Row],[Building 2 (kWh)]]*'Conversion Technologies'!$E$2</f>
        <v>24.913200000000003</v>
      </c>
      <c r="AC4" s="24">
        <f>final_electricity__16192426[[#This Row],[Building 3 (kWh)]]*'Conversion Technologies'!$E$2</f>
        <v>24.2212</v>
      </c>
      <c r="AD4" s="24">
        <f>final_electricity__16151523[[#This Row],[ Building 1 (kWh)]]+final_electricity__16151523[[#This Row],[Building 2 (kWh)]]+final_electricity__16151523[[#This Row],[Building 3 (kWh)]]</f>
        <v>49.179391628920001</v>
      </c>
    </row>
    <row r="5" spans="1:30" x14ac:dyDescent="0.35">
      <c r="A5" s="29">
        <v>2</v>
      </c>
      <c r="B5" s="24">
        <f>final_electricity__16[[#This Row],[ Building 1 (kWh)]]</f>
        <v>0.121</v>
      </c>
      <c r="C5" s="24">
        <f>final_electricity__16[[#This Row],[Building 2 (kWh)]]</f>
        <v>122.24</v>
      </c>
      <c r="D5" s="24">
        <f>final_electricity__16[[#This Row],[Building 3 (kWh)]]</f>
        <v>111.349</v>
      </c>
      <c r="E5" s="24">
        <f>final_electricity__16[[#This Row],[Community]]</f>
        <v>233.70999999999998</v>
      </c>
      <c r="G5" s="29">
        <v>2</v>
      </c>
      <c r="H5" s="24">
        <f>climate_data21317[[#This Row],[Heating Electricity (Wh)]]/1000</f>
        <v>9.190856919999997E-2</v>
      </c>
      <c r="I5" s="24">
        <f>climate_data21317[[#This Row],[Cooling Electricity (Wh)]]/1000</f>
        <v>0</v>
      </c>
      <c r="J5" s="24">
        <f>Services!L33</f>
        <v>14.723587562495485</v>
      </c>
      <c r="K5" s="24">
        <v>0</v>
      </c>
      <c r="L5" s="24">
        <f>SUM(final_electricity__16192425[[#This Row],[Heating (kWh)]]:final_electricity__16192425[[#This Row],[Water heating (kWh)]])</f>
        <v>14.815496131695484</v>
      </c>
      <c r="N5" s="29">
        <v>2</v>
      </c>
      <c r="O5" s="24">
        <f>final_electricity__161924[[#This Row],[ Building 1 (kWh)]]+final_electricity__16192425[[#This Row],[Total]]</f>
        <v>14.936496131695485</v>
      </c>
      <c r="P5" s="24">
        <f>final_electricity__161924[[#This Row],[Building 2 (kWh)]]</f>
        <v>122.24</v>
      </c>
      <c r="Q5" s="24">
        <f>final_electricity__161924[[#This Row],[Building 3 (kWh)]]</f>
        <v>111.349</v>
      </c>
      <c r="R5" s="24">
        <f>SUM(final_electricity__16192426[[#This Row],[ Building 1 (kWh)]]:final_electricity__16192426[[#This Row],[Building 3 (kWh)]])</f>
        <v>248.52549613169549</v>
      </c>
      <c r="T5" s="29">
        <v>2</v>
      </c>
      <c r="U5" s="24">
        <f>final_electricity__16192426[[#This Row],[ Building 1 (kWh)]]*tariffs[[#This Row],[Building 1 (buy)]]</f>
        <v>1.6280780783548079</v>
      </c>
      <c r="V5" s="24">
        <f>final_electricity__16192426[[#This Row],[Building 2 (kWh)]]*tariffs[[#This Row],[Building 2 (buy)]]</f>
        <v>11.0016</v>
      </c>
      <c r="W5" s="24">
        <f>final_electricity__16192426[[#This Row],[Building 3 (kWh)]]*tariffs[[#This Row],[Building 3 (buy)]]</f>
        <v>11.8920732</v>
      </c>
      <c r="X5" s="24">
        <f>final_electricity__16192426[[#This Row],[Community]]*tariffs[[#This Row],[Building 2 (buy)]]</f>
        <v>22.367294651852593</v>
      </c>
      <c r="Z5" s="29">
        <v>2</v>
      </c>
      <c r="AA5" s="24">
        <f>final_electricity__16192426[[#This Row],[ Building 1 (kWh)]]*'Conversion Technologies'!$E$2</f>
        <v>2.9872992263390969</v>
      </c>
      <c r="AB5" s="24">
        <f>final_electricity__16192426[[#This Row],[Building 2 (kWh)]]*'Conversion Technologies'!$E$2</f>
        <v>24.448</v>
      </c>
      <c r="AC5" s="24">
        <f>final_electricity__16192426[[#This Row],[Building 3 (kWh)]]*'Conversion Technologies'!$E$2</f>
        <v>22.269800000000004</v>
      </c>
      <c r="AD5" s="24">
        <f>final_electricity__16151523[[#This Row],[ Building 1 (kWh)]]+final_electricity__16151523[[#This Row],[Building 2 (kWh)]]+final_electricity__16151523[[#This Row],[Building 3 (kWh)]]</f>
        <v>49.705099226339101</v>
      </c>
    </row>
    <row r="6" spans="1:30" x14ac:dyDescent="0.35">
      <c r="A6" s="29">
        <v>3</v>
      </c>
      <c r="B6" s="24">
        <f>final_electricity__16[[#This Row],[ Building 1 (kWh)]]</f>
        <v>0.112</v>
      </c>
      <c r="C6" s="24">
        <f>final_electricity__16[[#This Row],[Building 2 (kWh)]]</f>
        <v>119.33199999999999</v>
      </c>
      <c r="D6" s="24">
        <f>final_electricity__16[[#This Row],[Building 3 (kWh)]]</f>
        <v>108.373</v>
      </c>
      <c r="E6" s="24">
        <f>final_electricity__16[[#This Row],[Community]]</f>
        <v>227.81700000000001</v>
      </c>
      <c r="G6" s="29">
        <v>3</v>
      </c>
      <c r="H6" s="24">
        <f>climate_data21317[[#This Row],[Heating Electricity (Wh)]]/1000</f>
        <v>0.1078589938</v>
      </c>
      <c r="I6" s="24">
        <f>climate_data21317[[#This Row],[Cooling Electricity (Wh)]]/1000</f>
        <v>0</v>
      </c>
      <c r="J6" s="24">
        <v>0</v>
      </c>
      <c r="K6" s="24">
        <v>0</v>
      </c>
      <c r="L6" s="24">
        <f>SUM(final_electricity__16192425[[#This Row],[Heating (kWh)]]:final_electricity__16192425[[#This Row],[Water heating (kWh)]])</f>
        <v>0.1078589938</v>
      </c>
      <c r="N6" s="29">
        <v>3</v>
      </c>
      <c r="O6" s="24">
        <f>final_electricity__161924[[#This Row],[ Building 1 (kWh)]]+final_electricity__16192425[[#This Row],[Total]]</f>
        <v>0.21985899380000001</v>
      </c>
      <c r="P6" s="24">
        <f>final_electricity__161924[[#This Row],[Building 2 (kWh)]]</f>
        <v>119.33199999999999</v>
      </c>
      <c r="Q6" s="24">
        <f>final_electricity__161924[[#This Row],[Building 3 (kWh)]]</f>
        <v>108.373</v>
      </c>
      <c r="R6" s="24">
        <f>SUM(final_electricity__16192426[[#This Row],[ Building 1 (kWh)]]:final_electricity__16192426[[#This Row],[Building 3 (kWh)]])</f>
        <v>227.9248589938</v>
      </c>
      <c r="T6" s="29">
        <v>3</v>
      </c>
      <c r="U6" s="24">
        <f>final_electricity__16192426[[#This Row],[ Building 1 (kWh)]]*tariffs[[#This Row],[Building 1 (buy)]]</f>
        <v>2.3964630324200001E-2</v>
      </c>
      <c r="V6" s="24">
        <f>final_electricity__16192426[[#This Row],[Building 2 (kWh)]]*tariffs[[#This Row],[Building 2 (buy)]]</f>
        <v>10.739879999999999</v>
      </c>
      <c r="W6" s="24">
        <f>final_electricity__16192426[[#This Row],[Building 3 (kWh)]]*tariffs[[#This Row],[Building 3 (buy)]]</f>
        <v>11.574236400000002</v>
      </c>
      <c r="X6" s="24">
        <f>final_electricity__16192426[[#This Row],[Community]]*tariffs[[#This Row],[Building 2 (buy)]]</f>
        <v>20.513237309442001</v>
      </c>
      <c r="Z6" s="29">
        <v>3</v>
      </c>
      <c r="AA6" s="24">
        <f>final_electricity__16192426[[#This Row],[ Building 1 (kWh)]]*'Conversion Technologies'!$E$2</f>
        <v>4.3971798760000007E-2</v>
      </c>
      <c r="AB6" s="24">
        <f>final_electricity__16192426[[#This Row],[Building 2 (kWh)]]*'Conversion Technologies'!$E$2</f>
        <v>23.866399999999999</v>
      </c>
      <c r="AC6" s="24">
        <f>final_electricity__16192426[[#This Row],[Building 3 (kWh)]]*'Conversion Technologies'!$E$2</f>
        <v>21.674600000000002</v>
      </c>
      <c r="AD6" s="24">
        <f>final_electricity__16151523[[#This Row],[ Building 1 (kWh)]]+final_electricity__16151523[[#This Row],[Building 2 (kWh)]]+final_electricity__16151523[[#This Row],[Building 3 (kWh)]]</f>
        <v>45.584971798760002</v>
      </c>
    </row>
    <row r="7" spans="1:30" x14ac:dyDescent="0.35">
      <c r="A7" s="29">
        <v>4</v>
      </c>
      <c r="B7" s="24">
        <f>final_electricity__16[[#This Row],[ Building 1 (kWh)]]</f>
        <v>0.11700000000000001</v>
      </c>
      <c r="C7" s="24">
        <f>final_electricity__16[[#This Row],[Building 2 (kWh)]]</f>
        <v>118.456</v>
      </c>
      <c r="D7" s="24">
        <f>final_electricity__16[[#This Row],[Building 3 (kWh)]]</f>
        <v>111.221</v>
      </c>
      <c r="E7" s="24">
        <f>final_electricity__16[[#This Row],[Community]]</f>
        <v>229.79400000000001</v>
      </c>
      <c r="G7" s="29">
        <v>4</v>
      </c>
      <c r="H7" s="24">
        <f>climate_data21317[[#This Row],[Heating Electricity (Wh)]]/1000</f>
        <v>0.12380941840000005</v>
      </c>
      <c r="I7" s="24">
        <f>climate_data21317[[#This Row],[Cooling Electricity (Wh)]]/1000</f>
        <v>0</v>
      </c>
      <c r="J7" s="24">
        <v>0</v>
      </c>
      <c r="K7" s="24">
        <v>0</v>
      </c>
      <c r="L7" s="24">
        <f>SUM(final_electricity__16192425[[#This Row],[Heating (kWh)]]:final_electricity__16192425[[#This Row],[Water heating (kWh)]])</f>
        <v>0.12380941840000005</v>
      </c>
      <c r="N7" s="29">
        <v>4</v>
      </c>
      <c r="O7" s="24">
        <f>final_electricity__161924[[#This Row],[ Building 1 (kWh)]]+final_electricity__16192425[[#This Row],[Total]]</f>
        <v>0.24080941840000006</v>
      </c>
      <c r="P7" s="24">
        <f>final_electricity__161924[[#This Row],[Building 2 (kWh)]]</f>
        <v>118.456</v>
      </c>
      <c r="Q7" s="24">
        <f>final_electricity__161924[[#This Row],[Building 3 (kWh)]]</f>
        <v>111.221</v>
      </c>
      <c r="R7" s="24">
        <f>SUM(final_electricity__16192426[[#This Row],[ Building 1 (kWh)]]:final_electricity__16192426[[#This Row],[Building 3 (kWh)]])</f>
        <v>229.9178094184</v>
      </c>
      <c r="T7" s="29">
        <v>4</v>
      </c>
      <c r="U7" s="24">
        <f>final_electricity__16192426[[#This Row],[ Building 1 (kWh)]]*tariffs[[#This Row],[Building 1 (buy)]]</f>
        <v>2.6248226605600007E-2</v>
      </c>
      <c r="V7" s="24">
        <f>final_electricity__16192426[[#This Row],[Building 2 (kWh)]]*tariffs[[#This Row],[Building 2 (buy)]]</f>
        <v>10.66104</v>
      </c>
      <c r="W7" s="24">
        <f>final_electricity__16192426[[#This Row],[Building 3 (kWh)]]*tariffs[[#This Row],[Building 3 (buy)]]</f>
        <v>11.878402800000002</v>
      </c>
      <c r="X7" s="24">
        <f>final_electricity__16192426[[#This Row],[Community]]*tariffs[[#This Row],[Building 2 (buy)]]</f>
        <v>20.692602847655998</v>
      </c>
      <c r="Z7" s="29">
        <v>4</v>
      </c>
      <c r="AA7" s="24">
        <f>final_electricity__16192426[[#This Row],[ Building 1 (kWh)]]*'Conversion Technologies'!$E$2</f>
        <v>4.8161883680000017E-2</v>
      </c>
      <c r="AB7" s="24">
        <f>final_electricity__16192426[[#This Row],[Building 2 (kWh)]]*'Conversion Technologies'!$E$2</f>
        <v>23.691200000000002</v>
      </c>
      <c r="AC7" s="24">
        <f>final_electricity__16192426[[#This Row],[Building 3 (kWh)]]*'Conversion Technologies'!$E$2</f>
        <v>22.244200000000003</v>
      </c>
      <c r="AD7" s="24">
        <f>final_electricity__16151523[[#This Row],[ Building 1 (kWh)]]+final_electricity__16151523[[#This Row],[Building 2 (kWh)]]+final_electricity__16151523[[#This Row],[Building 3 (kWh)]]</f>
        <v>45.983561883680004</v>
      </c>
    </row>
    <row r="8" spans="1:30" x14ac:dyDescent="0.35">
      <c r="A8" s="29">
        <v>5</v>
      </c>
      <c r="B8" s="24">
        <f>final_electricity__16[[#This Row],[ Building 1 (kWh)]]</f>
        <v>0.13</v>
      </c>
      <c r="C8" s="24">
        <f>final_electricity__16[[#This Row],[Building 2 (kWh)]]</f>
        <v>123.203</v>
      </c>
      <c r="D8" s="24">
        <f>final_electricity__16[[#This Row],[Building 3 (kWh)]]</f>
        <v>124.458</v>
      </c>
      <c r="E8" s="24">
        <f>final_electricity__16[[#This Row],[Community]]</f>
        <v>247.791</v>
      </c>
      <c r="G8" s="29">
        <v>5</v>
      </c>
      <c r="H8" s="24">
        <f>climate_data21317[[#This Row],[Heating Electricity (Wh)]]/1000</f>
        <v>0.13540972719999994</v>
      </c>
      <c r="I8" s="24">
        <f>climate_data21317[[#This Row],[Cooling Electricity (Wh)]]/1000</f>
        <v>0</v>
      </c>
      <c r="J8" s="24">
        <v>0</v>
      </c>
      <c r="K8" s="24">
        <v>0</v>
      </c>
      <c r="L8" s="24">
        <f>SUM(final_electricity__16192425[[#This Row],[Heating (kWh)]]:final_electricity__16192425[[#This Row],[Water heating (kWh)]])</f>
        <v>0.13540972719999994</v>
      </c>
      <c r="N8" s="29">
        <v>5</v>
      </c>
      <c r="O8" s="24">
        <f>final_electricity__161924[[#This Row],[ Building 1 (kWh)]]+final_electricity__16192425[[#This Row],[Total]]</f>
        <v>0.26540972719999995</v>
      </c>
      <c r="P8" s="24">
        <f>final_electricity__161924[[#This Row],[Building 2 (kWh)]]</f>
        <v>123.203</v>
      </c>
      <c r="Q8" s="24">
        <f>final_electricity__161924[[#This Row],[Building 3 (kWh)]]</f>
        <v>124.458</v>
      </c>
      <c r="R8" s="24">
        <f>SUM(final_electricity__16192426[[#This Row],[ Building 1 (kWh)]]:final_electricity__16192426[[#This Row],[Building 3 (kWh)]])</f>
        <v>247.9264097272</v>
      </c>
      <c r="T8" s="29">
        <v>5</v>
      </c>
      <c r="U8" s="24">
        <f>final_electricity__16192426[[#This Row],[ Building 1 (kWh)]]*tariffs[[#This Row],[Building 1 (buy)]]</f>
        <v>2.8929660264799994E-2</v>
      </c>
      <c r="V8" s="24">
        <f>final_electricity__16192426[[#This Row],[Building 2 (kWh)]]*tariffs[[#This Row],[Building 2 (buy)]]</f>
        <v>11.08827</v>
      </c>
      <c r="W8" s="24">
        <f>final_electricity__16192426[[#This Row],[Building 3 (kWh)]]*tariffs[[#This Row],[Building 3 (buy)]]</f>
        <v>13.292114400000001</v>
      </c>
      <c r="X8" s="24">
        <f>final_electricity__16192426[[#This Row],[Community]]*tariffs[[#This Row],[Building 2 (buy)]]</f>
        <v>22.313376875448</v>
      </c>
      <c r="Z8" s="29">
        <v>5</v>
      </c>
      <c r="AA8" s="24">
        <f>final_electricity__16192426[[#This Row],[ Building 1 (kWh)]]*'Conversion Technologies'!$E$2</f>
        <v>5.3081945439999993E-2</v>
      </c>
      <c r="AB8" s="24">
        <f>final_electricity__16192426[[#This Row],[Building 2 (kWh)]]*'Conversion Technologies'!$E$2</f>
        <v>24.640600000000003</v>
      </c>
      <c r="AC8" s="24">
        <f>final_electricity__16192426[[#This Row],[Building 3 (kWh)]]*'Conversion Technologies'!$E$2</f>
        <v>24.8916</v>
      </c>
      <c r="AD8" s="24">
        <f>final_electricity__16151523[[#This Row],[ Building 1 (kWh)]]+final_electricity__16151523[[#This Row],[Building 2 (kWh)]]+final_electricity__16151523[[#This Row],[Building 3 (kWh)]]</f>
        <v>49.585281945440002</v>
      </c>
    </row>
    <row r="9" spans="1:30" x14ac:dyDescent="0.35">
      <c r="A9" s="29">
        <v>6</v>
      </c>
      <c r="B9" s="24">
        <f>final_electricity__16[[#This Row],[ Building 1 (kWh)]]</f>
        <v>0.11700000000000001</v>
      </c>
      <c r="C9" s="24">
        <f>final_electricity__16[[#This Row],[Building 2 (kWh)]]</f>
        <v>128.864</v>
      </c>
      <c r="D9" s="24">
        <f>final_electricity__16[[#This Row],[Building 3 (kWh)]]</f>
        <v>135.33600000000001</v>
      </c>
      <c r="E9" s="24">
        <f>final_electricity__16[[#This Row],[Community]]</f>
        <v>264.31700000000001</v>
      </c>
      <c r="G9" s="29">
        <v>6</v>
      </c>
      <c r="H9" s="24">
        <f>climate_data21317[[#This Row],[Heating Electricity (Wh)]]/1000</f>
        <v>0.14701003599999996</v>
      </c>
      <c r="I9" s="24">
        <f>climate_data21317[[#This Row],[Cooling Electricity (Wh)]]/1000</f>
        <v>0</v>
      </c>
      <c r="J9" s="24">
        <v>0</v>
      </c>
      <c r="K9" s="24">
        <v>0</v>
      </c>
      <c r="L9" s="24">
        <f>SUM(final_electricity__16192425[[#This Row],[Heating (kWh)]]:final_electricity__16192425[[#This Row],[Water heating (kWh)]])</f>
        <v>0.14701003599999996</v>
      </c>
      <c r="N9" s="29">
        <v>6</v>
      </c>
      <c r="O9" s="24">
        <f>final_electricity__161924[[#This Row],[ Building 1 (kWh)]]+final_electricity__16192425[[#This Row],[Total]]</f>
        <v>0.26401003599999995</v>
      </c>
      <c r="P9" s="24">
        <f>final_electricity__161924[[#This Row],[Building 2 (kWh)]]</f>
        <v>128.864</v>
      </c>
      <c r="Q9" s="24">
        <f>final_electricity__161924[[#This Row],[Building 3 (kWh)]]</f>
        <v>135.33600000000001</v>
      </c>
      <c r="R9" s="24">
        <f>SUM(final_electricity__16192426[[#This Row],[ Building 1 (kWh)]]:final_electricity__16192426[[#This Row],[Building 3 (kWh)]])</f>
        <v>264.46401003599999</v>
      </c>
      <c r="T9" s="29">
        <v>6</v>
      </c>
      <c r="U9" s="24">
        <f>final_electricity__16192426[[#This Row],[ Building 1 (kWh)]]*tariffs[[#This Row],[Building 1 (buy)]]</f>
        <v>2.8777093923999995E-2</v>
      </c>
      <c r="V9" s="24">
        <f>final_electricity__16192426[[#This Row],[Building 2 (kWh)]]*tariffs[[#This Row],[Building 2 (buy)]]</f>
        <v>14.7807008</v>
      </c>
      <c r="W9" s="24">
        <f>final_electricity__16192426[[#This Row],[Building 3 (kWh)]]*tariffs[[#This Row],[Building 3 (buy)]]</f>
        <v>17.756083200000003</v>
      </c>
      <c r="X9" s="24">
        <f>final_electricity__16192426[[#This Row],[Community]]*tariffs[[#This Row],[Building 2 (buy)]]</f>
        <v>30.334021951129198</v>
      </c>
      <c r="Z9" s="29">
        <v>6</v>
      </c>
      <c r="AA9" s="24">
        <f>final_electricity__16192426[[#This Row],[ Building 1 (kWh)]]*'Conversion Technologies'!$E$2</f>
        <v>5.2802007199999994E-2</v>
      </c>
      <c r="AB9" s="24">
        <f>final_electricity__16192426[[#This Row],[Building 2 (kWh)]]*'Conversion Technologies'!$E$2</f>
        <v>25.772800000000004</v>
      </c>
      <c r="AC9" s="24">
        <f>final_electricity__16192426[[#This Row],[Building 3 (kWh)]]*'Conversion Technologies'!$E$2</f>
        <v>27.067200000000003</v>
      </c>
      <c r="AD9" s="24">
        <f>final_electricity__16151523[[#This Row],[ Building 1 (kWh)]]+final_electricity__16151523[[#This Row],[Building 2 (kWh)]]+final_electricity__16151523[[#This Row],[Building 3 (kWh)]]</f>
        <v>52.892802007200004</v>
      </c>
    </row>
    <row r="10" spans="1:30" x14ac:dyDescent="0.35">
      <c r="A10" s="29">
        <v>7</v>
      </c>
      <c r="B10" s="24">
        <f>final_electricity__16[[#This Row],[ Building 1 (kWh)]]</f>
        <v>0.377</v>
      </c>
      <c r="C10" s="24">
        <f>final_electricity__16[[#This Row],[Building 2 (kWh)]]</f>
        <v>156.93</v>
      </c>
      <c r="D10" s="24">
        <f>final_electricity__16[[#This Row],[Building 3 (kWh)]]</f>
        <v>205.28700000000001</v>
      </c>
      <c r="E10" s="24">
        <f>final_electricity__16[[#This Row],[Community]]</f>
        <v>362.59400000000005</v>
      </c>
      <c r="G10" s="29">
        <v>7</v>
      </c>
      <c r="H10" s="24">
        <f>climate_data21317[[#This Row],[Heating Electricity (Wh)]]/1000</f>
        <v>0.15933536409999993</v>
      </c>
      <c r="I10" s="24">
        <f>climate_data21317[[#This Row],[Cooling Electricity (Wh)]]/1000</f>
        <v>0</v>
      </c>
      <c r="J10" s="24">
        <v>0</v>
      </c>
      <c r="K10" s="24">
        <v>0</v>
      </c>
      <c r="L10" s="24">
        <f>SUM(final_electricity__16192425[[#This Row],[Heating (kWh)]]:final_electricity__16192425[[#This Row],[Water heating (kWh)]])</f>
        <v>0.15933536409999993</v>
      </c>
      <c r="N10" s="29">
        <v>7</v>
      </c>
      <c r="O10" s="24">
        <f>final_electricity__161924[[#This Row],[ Building 1 (kWh)]]+final_electricity__16192425[[#This Row],[Total]]</f>
        <v>0.53633536409999993</v>
      </c>
      <c r="P10" s="24">
        <f>final_electricity__161924[[#This Row],[Building 2 (kWh)]]</f>
        <v>156.93</v>
      </c>
      <c r="Q10" s="24">
        <f>final_electricity__161924[[#This Row],[Building 3 (kWh)]]</f>
        <v>205.28700000000001</v>
      </c>
      <c r="R10" s="24">
        <f>SUM(final_electricity__16192426[[#This Row],[ Building 1 (kWh)]]:final_electricity__16192426[[#This Row],[Building 3 (kWh)]])</f>
        <v>362.75333536410005</v>
      </c>
      <c r="T10" s="29">
        <v>7</v>
      </c>
      <c r="U10" s="24">
        <f>final_electricity__16192426[[#This Row],[ Building 1 (kWh)]]*tariffs[[#This Row],[Building 1 (buy)]]</f>
        <v>0.10490719721795999</v>
      </c>
      <c r="V10" s="24">
        <f>final_electricity__16192426[[#This Row],[Building 2 (kWh)]]*tariffs[[#This Row],[Building 2 (buy)]]</f>
        <v>24.622317000000002</v>
      </c>
      <c r="W10" s="24">
        <f>final_electricity__16192426[[#This Row],[Building 3 (kWh)]]*tariffs[[#This Row],[Building 3 (buy)]]</f>
        <v>34.365043800000002</v>
      </c>
      <c r="X10" s="24">
        <f>final_electricity__16192426[[#This Row],[Community]]*tariffs[[#This Row],[Building 2 (buy)]]</f>
        <v>56.915998318627302</v>
      </c>
      <c r="Z10" s="29">
        <v>7</v>
      </c>
      <c r="AA10" s="24">
        <f>final_electricity__16192426[[#This Row],[ Building 1 (kWh)]]*'Conversion Technologies'!$E$2</f>
        <v>0.10726707281999999</v>
      </c>
      <c r="AB10" s="24">
        <f>final_electricity__16192426[[#This Row],[Building 2 (kWh)]]*'Conversion Technologies'!$E$2</f>
        <v>31.386000000000003</v>
      </c>
      <c r="AC10" s="24">
        <f>final_electricity__16192426[[#This Row],[Building 3 (kWh)]]*'Conversion Technologies'!$E$2</f>
        <v>41.057400000000001</v>
      </c>
      <c r="AD10" s="24">
        <f>final_electricity__16151523[[#This Row],[ Building 1 (kWh)]]+final_electricity__16151523[[#This Row],[Building 2 (kWh)]]+final_electricity__16151523[[#This Row],[Building 3 (kWh)]]</f>
        <v>72.550667072820005</v>
      </c>
    </row>
    <row r="11" spans="1:30" x14ac:dyDescent="0.35">
      <c r="A11" s="29">
        <v>8</v>
      </c>
      <c r="B11" s="24">
        <f>final_electricity__16[[#This Row],[ Building 1 (kWh)]]</f>
        <v>0.90200000000000002</v>
      </c>
      <c r="C11" s="24">
        <f>final_electricity__16[[#This Row],[Building 2 (kWh)]]</f>
        <v>213.28899999999999</v>
      </c>
      <c r="D11" s="24">
        <f>final_electricity__16[[#This Row],[Building 3 (kWh)]]</f>
        <v>276.12</v>
      </c>
      <c r="E11" s="24">
        <f>final_electricity__16[[#This Row],[Community]]</f>
        <v>490.31099999999998</v>
      </c>
      <c r="G11" s="29">
        <v>8</v>
      </c>
      <c r="H11" s="24">
        <f>climate_data21317[[#This Row],[Heating Electricity (Wh)]]/1000</f>
        <v>0.21335860780000004</v>
      </c>
      <c r="I11" s="24">
        <f>climate_data21317[[#This Row],[Cooling Electricity (Wh)]]/1000</f>
        <v>0</v>
      </c>
      <c r="J11" s="24">
        <v>0</v>
      </c>
      <c r="K11" s="24">
        <v>0</v>
      </c>
      <c r="L11" s="24">
        <f>SUM(final_electricity__16192425[[#This Row],[Heating (kWh)]]:final_electricity__16192425[[#This Row],[Water heating (kWh)]])</f>
        <v>0.21335860780000004</v>
      </c>
      <c r="N11" s="29">
        <v>8</v>
      </c>
      <c r="O11" s="24">
        <f>final_electricity__161924[[#This Row],[ Building 1 (kWh)]]+final_electricity__16192425[[#This Row],[Total]]</f>
        <v>1.1153586078000002</v>
      </c>
      <c r="P11" s="24">
        <f>final_electricity__161924[[#This Row],[Building 2 (kWh)]]</f>
        <v>213.28899999999999</v>
      </c>
      <c r="Q11" s="24">
        <f>final_electricity__161924[[#This Row],[Building 3 (kWh)]]</f>
        <v>276.12</v>
      </c>
      <c r="R11" s="24">
        <f>SUM(final_electricity__16192426[[#This Row],[ Building 1 (kWh)]]:final_electricity__16192426[[#This Row],[Building 3 (kWh)]])</f>
        <v>490.52435860779997</v>
      </c>
      <c r="T11" s="29">
        <v>8</v>
      </c>
      <c r="U11" s="24">
        <f>final_electricity__16192426[[#This Row],[ Building 1 (kWh)]]*tariffs[[#This Row],[Building 1 (buy)]]</f>
        <v>0.21816414368568002</v>
      </c>
      <c r="V11" s="24">
        <f>final_electricity__16192426[[#This Row],[Building 2 (kWh)]]*tariffs[[#This Row],[Building 2 (buy)]]</f>
        <v>33.4650441</v>
      </c>
      <c r="W11" s="24">
        <f>final_electricity__16192426[[#This Row],[Building 3 (kWh)]]*tariffs[[#This Row],[Building 3 (buy)]]</f>
        <v>46.222487999999998</v>
      </c>
      <c r="X11" s="24">
        <f>final_electricity__16192426[[#This Row],[Community]]*tariffs[[#This Row],[Building 2 (buy)]]</f>
        <v>76.963271865563826</v>
      </c>
      <c r="Z11" s="29">
        <v>8</v>
      </c>
      <c r="AA11" s="24">
        <f>final_electricity__16192426[[#This Row],[ Building 1 (kWh)]]*'Conversion Technologies'!$E$2</f>
        <v>0.22307172156000005</v>
      </c>
      <c r="AB11" s="24">
        <f>final_electricity__16192426[[#This Row],[Building 2 (kWh)]]*'Conversion Technologies'!$E$2</f>
        <v>42.657800000000002</v>
      </c>
      <c r="AC11" s="24">
        <f>final_electricity__16192426[[#This Row],[Building 3 (kWh)]]*'Conversion Technologies'!$E$2</f>
        <v>55.224000000000004</v>
      </c>
      <c r="AD11" s="24">
        <f>final_electricity__16151523[[#This Row],[ Building 1 (kWh)]]+final_electricity__16151523[[#This Row],[Building 2 (kWh)]]+final_electricity__16151523[[#This Row],[Building 3 (kWh)]]</f>
        <v>98.104871721560002</v>
      </c>
    </row>
    <row r="12" spans="1:30" x14ac:dyDescent="0.35">
      <c r="A12" s="29">
        <v>9</v>
      </c>
      <c r="B12" s="24">
        <f>final_electricity__16[[#This Row],[ Building 1 (kWh)]]</f>
        <v>0.17599999999999999</v>
      </c>
      <c r="C12" s="24">
        <f>final_electricity__16[[#This Row],[Building 2 (kWh)]]</f>
        <v>264.62</v>
      </c>
      <c r="D12" s="24">
        <f>final_electricity__16[[#This Row],[Building 3 (kWh)]]</f>
        <v>327.05939999999998</v>
      </c>
      <c r="E12" s="24">
        <f>final_electricity__16[[#This Row],[Community]]</f>
        <v>591.85539999999992</v>
      </c>
      <c r="G12" s="29">
        <v>9</v>
      </c>
      <c r="H12" s="24">
        <f>climate_data21317[[#This Row],[Heating Electricity (Wh)]]/1000</f>
        <v>0</v>
      </c>
      <c r="I12" s="24">
        <f>climate_data21317[[#This Row],[Cooling Electricity (Wh)]]/1000</f>
        <v>0</v>
      </c>
      <c r="J12" s="24">
        <v>0</v>
      </c>
      <c r="K12" s="24">
        <v>0</v>
      </c>
      <c r="L12" s="24">
        <f>SUM(final_electricity__16192425[[#This Row],[Heating (kWh)]]:final_electricity__16192425[[#This Row],[Water heating (kWh)]])</f>
        <v>0</v>
      </c>
      <c r="N12" s="29">
        <v>9</v>
      </c>
      <c r="O12" s="24">
        <f>final_electricity__161924[[#This Row],[ Building 1 (kWh)]]+final_electricity__16192425[[#This Row],[Total]]</f>
        <v>0.17599999999999999</v>
      </c>
      <c r="P12" s="24">
        <f>final_electricity__161924[[#This Row],[Building 2 (kWh)]]</f>
        <v>264.62</v>
      </c>
      <c r="Q12" s="24">
        <f>final_electricity__161924[[#This Row],[Building 3 (kWh)]]</f>
        <v>327.05939999999998</v>
      </c>
      <c r="R12" s="24">
        <f>SUM(final_electricity__16192426[[#This Row],[ Building 1 (kWh)]]:final_electricity__16192426[[#This Row],[Building 3 (kWh)]])</f>
        <v>591.85539999999992</v>
      </c>
      <c r="T12" s="29">
        <v>9</v>
      </c>
      <c r="U12" s="24">
        <f>final_electricity__16192426[[#This Row],[ Building 1 (kWh)]]*tariffs[[#This Row],[Building 1 (buy)]]</f>
        <v>3.4425600000000001E-2</v>
      </c>
      <c r="V12" s="24">
        <f>final_electricity__16192426[[#This Row],[Building 2 (kWh)]]*tariffs[[#This Row],[Building 2 (buy)]]</f>
        <v>46.467272000000001</v>
      </c>
      <c r="W12" s="24">
        <f>final_electricity__16192426[[#This Row],[Building 3 (kWh)]]*tariffs[[#This Row],[Building 3 (buy)]]</f>
        <v>57.398924699999995</v>
      </c>
      <c r="X12" s="24">
        <f>final_electricity__16192426[[#This Row],[Community]]*tariffs[[#This Row],[Building 2 (buy)]]</f>
        <v>103.92980823999999</v>
      </c>
      <c r="Z12" s="29">
        <v>9</v>
      </c>
      <c r="AA12" s="24">
        <f>final_electricity__16192426[[#This Row],[ Building 1 (kWh)]]*'Conversion Technologies'!$E$2</f>
        <v>3.5200000000000002E-2</v>
      </c>
      <c r="AB12" s="24">
        <f>final_electricity__16192426[[#This Row],[Building 2 (kWh)]]*'Conversion Technologies'!$E$2</f>
        <v>52.924000000000007</v>
      </c>
      <c r="AC12" s="24">
        <f>final_electricity__16192426[[#This Row],[Building 3 (kWh)]]*'Conversion Technologies'!$E$2</f>
        <v>65.411879999999996</v>
      </c>
      <c r="AD12" s="24">
        <f>final_electricity__16151523[[#This Row],[ Building 1 (kWh)]]+final_electricity__16151523[[#This Row],[Building 2 (kWh)]]+final_electricity__16151523[[#This Row],[Building 3 (kWh)]]</f>
        <v>118.37108000000001</v>
      </c>
    </row>
    <row r="13" spans="1:30" x14ac:dyDescent="0.35">
      <c r="A13" s="29">
        <v>10</v>
      </c>
      <c r="B13" s="24">
        <f>final_electricity__16[[#This Row],[ Building 1 (kWh)]]</f>
        <v>0.318</v>
      </c>
      <c r="C13" s="24">
        <f>final_electricity__16[[#This Row],[Building 2 (kWh)]]</f>
        <v>278.54599999999999</v>
      </c>
      <c r="D13" s="24">
        <f>final_electricity__16[[#This Row],[Building 3 (kWh)]]</f>
        <v>357.839</v>
      </c>
      <c r="E13" s="24">
        <f>final_electricity__16[[#This Row],[Community]]</f>
        <v>636.70299999999997</v>
      </c>
      <c r="G13" s="29">
        <v>10</v>
      </c>
      <c r="H13" s="24">
        <f>climate_data21317[[#This Row],[Heating Electricity (Wh)]]/1000</f>
        <v>0</v>
      </c>
      <c r="I13" s="24">
        <f>climate_data21317[[#This Row],[Cooling Electricity (Wh)]]/1000</f>
        <v>0</v>
      </c>
      <c r="J13" s="24">
        <v>0</v>
      </c>
      <c r="K13" s="24">
        <v>0</v>
      </c>
      <c r="L13" s="24">
        <f>SUM(final_electricity__16192425[[#This Row],[Heating (kWh)]]:final_electricity__16192425[[#This Row],[Water heating (kWh)]])</f>
        <v>0</v>
      </c>
      <c r="N13" s="29">
        <v>10</v>
      </c>
      <c r="O13" s="24">
        <f>final_electricity__161924[[#This Row],[ Building 1 (kWh)]]+final_electricity__16192425[[#This Row],[Total]]</f>
        <v>0.318</v>
      </c>
      <c r="P13" s="24">
        <f>final_electricity__161924[[#This Row],[Building 2 (kWh)]]</f>
        <v>278.54599999999999</v>
      </c>
      <c r="Q13" s="24">
        <f>final_electricity__161924[[#This Row],[Building 3 (kWh)]]</f>
        <v>357.839</v>
      </c>
      <c r="R13" s="24">
        <f>SUM(final_electricity__16192426[[#This Row],[ Building 1 (kWh)]]:final_electricity__16192426[[#This Row],[Building 3 (kWh)]])</f>
        <v>636.70299999999997</v>
      </c>
      <c r="T13" s="29">
        <v>10</v>
      </c>
      <c r="U13" s="24">
        <f>final_electricity__16192426[[#This Row],[ Building 1 (kWh)]]*tariffs[[#This Row],[Building 1 (buy)]]</f>
        <v>6.2200800000000001E-2</v>
      </c>
      <c r="V13" s="24">
        <f>final_electricity__16192426[[#This Row],[Building 2 (kWh)]]*tariffs[[#This Row],[Building 2 (buy)]]</f>
        <v>48.912677600000002</v>
      </c>
      <c r="W13" s="24">
        <f>final_electricity__16192426[[#This Row],[Building 3 (kWh)]]*tariffs[[#This Row],[Building 3 (buy)]]</f>
        <v>62.800744499999993</v>
      </c>
      <c r="X13" s="24">
        <f>final_electricity__16192426[[#This Row],[Community]]*tariffs[[#This Row],[Building 2 (buy)]]</f>
        <v>111.8050468</v>
      </c>
      <c r="Z13" s="29">
        <v>10</v>
      </c>
      <c r="AA13" s="24">
        <f>final_electricity__16192426[[#This Row],[ Building 1 (kWh)]]*'Conversion Technologies'!$E$2</f>
        <v>6.3600000000000004E-2</v>
      </c>
      <c r="AB13" s="24">
        <f>final_electricity__16192426[[#This Row],[Building 2 (kWh)]]*'Conversion Technologies'!$E$2</f>
        <v>55.709200000000003</v>
      </c>
      <c r="AC13" s="24">
        <f>final_electricity__16192426[[#This Row],[Building 3 (kWh)]]*'Conversion Technologies'!$E$2</f>
        <v>71.567800000000005</v>
      </c>
      <c r="AD13" s="24">
        <f>final_electricity__16151523[[#This Row],[ Building 1 (kWh)]]+final_electricity__16151523[[#This Row],[Building 2 (kWh)]]+final_electricity__16151523[[#This Row],[Building 3 (kWh)]]</f>
        <v>127.34060000000001</v>
      </c>
    </row>
    <row r="14" spans="1:30" x14ac:dyDescent="0.35">
      <c r="A14" s="29">
        <v>11</v>
      </c>
      <c r="B14" s="24">
        <f>final_electricity__16[[#This Row],[ Building 1 (kWh)]]</f>
        <v>0.122</v>
      </c>
      <c r="C14" s="24">
        <f>final_electricity__16[[#This Row],[Building 2 (kWh)]]</f>
        <v>290.54700000000003</v>
      </c>
      <c r="D14" s="24">
        <f>final_electricity__16[[#This Row],[Building 3 (kWh)]]</f>
        <v>393.238</v>
      </c>
      <c r="E14" s="24">
        <f>final_electricity__16[[#This Row],[Community]]</f>
        <v>683.90700000000004</v>
      </c>
      <c r="G14" s="29">
        <v>11</v>
      </c>
      <c r="H14" s="24">
        <f>climate_data21317[[#This Row],[Heating Electricity (Wh)]]/1000</f>
        <v>0</v>
      </c>
      <c r="I14" s="24">
        <f>climate_data21317[[#This Row],[Cooling Electricity (Wh)]]/1000</f>
        <v>0</v>
      </c>
      <c r="J14" s="24">
        <v>0</v>
      </c>
      <c r="K14" s="24">
        <v>0</v>
      </c>
      <c r="L14" s="24">
        <f>SUM(final_electricity__16192425[[#This Row],[Heating (kWh)]]:final_electricity__16192425[[#This Row],[Water heating (kWh)]])</f>
        <v>0</v>
      </c>
      <c r="N14" s="29">
        <v>11</v>
      </c>
      <c r="O14" s="24">
        <f>final_electricity__161924[[#This Row],[ Building 1 (kWh)]]+final_electricity__16192425[[#This Row],[Total]]</f>
        <v>0.122</v>
      </c>
      <c r="P14" s="24">
        <f>final_electricity__161924[[#This Row],[Building 2 (kWh)]]</f>
        <v>290.54700000000003</v>
      </c>
      <c r="Q14" s="24">
        <f>final_electricity__161924[[#This Row],[Building 3 (kWh)]]</f>
        <v>393.238</v>
      </c>
      <c r="R14" s="24">
        <f>SUM(final_electricity__16192426[[#This Row],[ Building 1 (kWh)]]:final_electricity__16192426[[#This Row],[Building 3 (kWh)]])</f>
        <v>683.90700000000004</v>
      </c>
      <c r="T14" s="29">
        <v>11</v>
      </c>
      <c r="U14" s="24">
        <f>final_electricity__16192426[[#This Row],[ Building 1 (kWh)]]*tariffs[[#This Row],[Building 1 (buy)]]</f>
        <v>2.3863199999999998E-2</v>
      </c>
      <c r="V14" s="24">
        <f>final_electricity__16192426[[#This Row],[Building 2 (kWh)]]*tariffs[[#This Row],[Building 2 (buy)]]</f>
        <v>51.020053200000007</v>
      </c>
      <c r="W14" s="24">
        <f>final_electricity__16192426[[#This Row],[Building 3 (kWh)]]*tariffs[[#This Row],[Building 3 (buy)]]</f>
        <v>69.013268999999994</v>
      </c>
      <c r="X14" s="24">
        <f>final_electricity__16192426[[#This Row],[Community]]*tariffs[[#This Row],[Building 2 (buy)]]</f>
        <v>120.09406920000001</v>
      </c>
      <c r="Z14" s="29">
        <v>11</v>
      </c>
      <c r="AA14" s="24">
        <f>final_electricity__16192426[[#This Row],[ Building 1 (kWh)]]*'Conversion Technologies'!$E$2</f>
        <v>2.4400000000000002E-2</v>
      </c>
      <c r="AB14" s="24">
        <f>final_electricity__16192426[[#This Row],[Building 2 (kWh)]]*'Conversion Technologies'!$E$2</f>
        <v>58.109400000000008</v>
      </c>
      <c r="AC14" s="24">
        <f>final_electricity__16192426[[#This Row],[Building 3 (kWh)]]*'Conversion Technologies'!$E$2</f>
        <v>78.647600000000011</v>
      </c>
      <c r="AD14" s="24">
        <f>final_electricity__16151523[[#This Row],[ Building 1 (kWh)]]+final_electricity__16151523[[#This Row],[Building 2 (kWh)]]+final_electricity__16151523[[#This Row],[Building 3 (kWh)]]</f>
        <v>136.78140000000002</v>
      </c>
    </row>
    <row r="15" spans="1:30" x14ac:dyDescent="0.35">
      <c r="A15" s="29">
        <v>12</v>
      </c>
      <c r="B15" s="24">
        <f>final_electricity__16[[#This Row],[ Building 1 (kWh)]]</f>
        <v>0.10100000000000001</v>
      </c>
      <c r="C15" s="24">
        <f>final_electricity__16[[#This Row],[Building 2 (kWh)]]</f>
        <v>278.565</v>
      </c>
      <c r="D15" s="24">
        <f>final_electricity__16[[#This Row],[Building 3 (kWh)]]</f>
        <v>400.87400000000002</v>
      </c>
      <c r="E15" s="24">
        <f>final_electricity__16[[#This Row],[Community]]</f>
        <v>679.54</v>
      </c>
      <c r="G15" s="29">
        <v>12</v>
      </c>
      <c r="H15" s="24">
        <f>climate_data21317[[#This Row],[Heating Electricity (Wh)]]/1000</f>
        <v>0</v>
      </c>
      <c r="I15" s="24">
        <f>climate_data21317[[#This Row],[Cooling Electricity (Wh)]]/1000</f>
        <v>0</v>
      </c>
      <c r="J15" s="24">
        <v>0</v>
      </c>
      <c r="K15" s="24">
        <v>0</v>
      </c>
      <c r="L15" s="24">
        <f>SUM(final_electricity__16192425[[#This Row],[Heating (kWh)]]:final_electricity__16192425[[#This Row],[Water heating (kWh)]])</f>
        <v>0</v>
      </c>
      <c r="N15" s="29">
        <v>12</v>
      </c>
      <c r="O15" s="24">
        <f>final_electricity__161924[[#This Row],[ Building 1 (kWh)]]+final_electricity__16192425[[#This Row],[Total]]</f>
        <v>0.10100000000000001</v>
      </c>
      <c r="P15" s="24">
        <f>final_electricity__161924[[#This Row],[Building 2 (kWh)]]</f>
        <v>278.565</v>
      </c>
      <c r="Q15" s="24">
        <f>final_electricity__161924[[#This Row],[Building 3 (kWh)]]</f>
        <v>400.87400000000002</v>
      </c>
      <c r="R15" s="24">
        <f>SUM(final_electricity__16192426[[#This Row],[ Building 1 (kWh)]]:final_electricity__16192426[[#This Row],[Building 3 (kWh)]])</f>
        <v>679.54</v>
      </c>
      <c r="T15" s="29">
        <v>12</v>
      </c>
      <c r="U15" s="24">
        <f>final_electricity__16192426[[#This Row],[ Building 1 (kWh)]]*tariffs[[#This Row],[Building 1 (buy)]]</f>
        <v>1.9755600000000002E-2</v>
      </c>
      <c r="V15" s="24">
        <f>final_electricity__16192426[[#This Row],[Building 2 (kWh)]]*tariffs[[#This Row],[Building 2 (buy)]]</f>
        <v>43.7068485</v>
      </c>
      <c r="W15" s="24">
        <f>final_electricity__16192426[[#This Row],[Building 3 (kWh)]]*tariffs[[#This Row],[Building 3 (buy)]]</f>
        <v>67.106307600000008</v>
      </c>
      <c r="X15" s="24">
        <f>final_electricity__16192426[[#This Row],[Community]]*tariffs[[#This Row],[Building 2 (buy)]]</f>
        <v>106.619826</v>
      </c>
      <c r="Z15" s="29">
        <v>12</v>
      </c>
      <c r="AA15" s="24">
        <f>final_electricity__16192426[[#This Row],[ Building 1 (kWh)]]*'Conversion Technologies'!$E$2</f>
        <v>2.0200000000000003E-2</v>
      </c>
      <c r="AB15" s="24">
        <f>final_electricity__16192426[[#This Row],[Building 2 (kWh)]]*'Conversion Technologies'!$E$2</f>
        <v>55.713000000000001</v>
      </c>
      <c r="AC15" s="24">
        <f>final_electricity__16192426[[#This Row],[Building 3 (kWh)]]*'Conversion Technologies'!$E$2</f>
        <v>80.174800000000005</v>
      </c>
      <c r="AD15" s="24">
        <f>final_electricity__16151523[[#This Row],[ Building 1 (kWh)]]+final_electricity__16151523[[#This Row],[Building 2 (kWh)]]+final_electricity__16151523[[#This Row],[Building 3 (kWh)]]</f>
        <v>135.90800000000002</v>
      </c>
    </row>
    <row r="16" spans="1:30" x14ac:dyDescent="0.35">
      <c r="A16" s="29">
        <v>13</v>
      </c>
      <c r="B16" s="24">
        <f>final_electricity__16[[#This Row],[ Building 1 (kWh)]]</f>
        <v>0.106</v>
      </c>
      <c r="C16" s="24">
        <f>final_electricity__16[[#This Row],[Building 2 (kWh)]]</f>
        <v>298.416</v>
      </c>
      <c r="D16" s="24">
        <f>final_electricity__16[[#This Row],[Building 3 (kWh)]]</f>
        <v>372.48899999999998</v>
      </c>
      <c r="E16" s="24">
        <f>final_electricity__16[[#This Row],[Community]]</f>
        <v>671.01099999999997</v>
      </c>
      <c r="G16" s="29">
        <v>13</v>
      </c>
      <c r="H16" s="24">
        <f>climate_data21317[[#This Row],[Heating Electricity (Wh)]]/1000</f>
        <v>0</v>
      </c>
      <c r="I16" s="24">
        <f>climate_data21317[[#This Row],[Cooling Electricity (Wh)]]/1000</f>
        <v>0</v>
      </c>
      <c r="J16" s="24">
        <v>0</v>
      </c>
      <c r="K16" s="24">
        <v>0</v>
      </c>
      <c r="L16" s="24">
        <f>SUM(final_electricity__16192425[[#This Row],[Heating (kWh)]]:final_electricity__16192425[[#This Row],[Water heating (kWh)]])</f>
        <v>0</v>
      </c>
      <c r="N16" s="29">
        <v>13</v>
      </c>
      <c r="O16" s="24">
        <f>final_electricity__161924[[#This Row],[ Building 1 (kWh)]]+final_electricity__16192425[[#This Row],[Total]]</f>
        <v>0.106</v>
      </c>
      <c r="P16" s="24">
        <f>final_electricity__161924[[#This Row],[Building 2 (kWh)]]</f>
        <v>298.416</v>
      </c>
      <c r="Q16" s="24">
        <f>final_electricity__161924[[#This Row],[Building 3 (kWh)]]</f>
        <v>372.48899999999998</v>
      </c>
      <c r="R16" s="24">
        <f>SUM(final_electricity__16192426[[#This Row],[ Building 1 (kWh)]]:final_electricity__16192426[[#This Row],[Building 3 (kWh)]])</f>
        <v>671.01099999999997</v>
      </c>
      <c r="T16" s="29">
        <v>13</v>
      </c>
      <c r="U16" s="24">
        <f>final_electricity__16192426[[#This Row],[ Building 1 (kWh)]]*tariffs[[#This Row],[Building 1 (buy)]]</f>
        <v>2.0733599999999998E-2</v>
      </c>
      <c r="V16" s="24">
        <f>final_electricity__16192426[[#This Row],[Building 2 (kWh)]]*tariffs[[#This Row],[Building 2 (buy)]]</f>
        <v>46.821470400000003</v>
      </c>
      <c r="W16" s="24">
        <f>final_electricity__16192426[[#This Row],[Building 3 (kWh)]]*tariffs[[#This Row],[Building 3 (buy)]]</f>
        <v>62.354658599999993</v>
      </c>
      <c r="X16" s="24">
        <f>final_electricity__16192426[[#This Row],[Community]]*tariffs[[#This Row],[Building 2 (buy)]]</f>
        <v>105.28162590000001</v>
      </c>
      <c r="Z16" s="29">
        <v>13</v>
      </c>
      <c r="AA16" s="24">
        <f>final_electricity__16192426[[#This Row],[ Building 1 (kWh)]]*'Conversion Technologies'!$E$2</f>
        <v>2.12E-2</v>
      </c>
      <c r="AB16" s="24">
        <f>final_electricity__16192426[[#This Row],[Building 2 (kWh)]]*'Conversion Technologies'!$E$2</f>
        <v>59.683199999999999</v>
      </c>
      <c r="AC16" s="24">
        <f>final_electricity__16192426[[#This Row],[Building 3 (kWh)]]*'Conversion Technologies'!$E$2</f>
        <v>74.497799999999998</v>
      </c>
      <c r="AD16" s="24">
        <f>final_electricity__16151523[[#This Row],[ Building 1 (kWh)]]+final_electricity__16151523[[#This Row],[Building 2 (kWh)]]+final_electricity__16151523[[#This Row],[Building 3 (kWh)]]</f>
        <v>134.2022</v>
      </c>
    </row>
    <row r="17" spans="1:30" x14ac:dyDescent="0.35">
      <c r="A17" s="29">
        <v>14</v>
      </c>
      <c r="B17" s="24">
        <f>final_electricity__16[[#This Row],[ Building 1 (kWh)]]</f>
        <v>0.17499999999999999</v>
      </c>
      <c r="C17" s="24">
        <f>final_electricity__16[[#This Row],[Building 2 (kWh)]]</f>
        <v>322.815</v>
      </c>
      <c r="D17" s="24">
        <f>final_electricity__16[[#This Row],[Building 3 (kWh)]]</f>
        <v>357.63299999999998</v>
      </c>
      <c r="E17" s="24">
        <f>final_electricity__16[[#This Row],[Community]]</f>
        <v>680.62300000000005</v>
      </c>
      <c r="G17" s="29">
        <v>14</v>
      </c>
      <c r="H17" s="24">
        <f>climate_data21317[[#This Row],[Heating Electricity (Wh)]]/1000</f>
        <v>0</v>
      </c>
      <c r="I17" s="24">
        <f>climate_data21317[[#This Row],[Cooling Electricity (Wh)]]/1000</f>
        <v>0</v>
      </c>
      <c r="J17" s="24">
        <v>0</v>
      </c>
      <c r="K17" s="24">
        <v>0</v>
      </c>
      <c r="L17" s="24">
        <f>SUM(final_electricity__16192425[[#This Row],[Heating (kWh)]]:final_electricity__16192425[[#This Row],[Water heating (kWh)]])</f>
        <v>0</v>
      </c>
      <c r="N17" s="29">
        <v>14</v>
      </c>
      <c r="O17" s="24">
        <f>final_electricity__161924[[#This Row],[ Building 1 (kWh)]]+final_electricity__16192425[[#This Row],[Total]]</f>
        <v>0.17499999999999999</v>
      </c>
      <c r="P17" s="24">
        <f>final_electricity__161924[[#This Row],[Building 2 (kWh)]]</f>
        <v>322.815</v>
      </c>
      <c r="Q17" s="24">
        <f>final_electricity__161924[[#This Row],[Building 3 (kWh)]]</f>
        <v>357.63299999999998</v>
      </c>
      <c r="R17" s="24">
        <f>SUM(final_electricity__16192426[[#This Row],[ Building 1 (kWh)]]:final_electricity__16192426[[#This Row],[Building 3 (kWh)]])</f>
        <v>680.62300000000005</v>
      </c>
      <c r="T17" s="29">
        <v>14</v>
      </c>
      <c r="U17" s="24">
        <f>final_electricity__16192426[[#This Row],[ Building 1 (kWh)]]*tariffs[[#This Row],[Building 1 (buy)]]</f>
        <v>3.4229999999999997E-2</v>
      </c>
      <c r="V17" s="24">
        <f>final_electricity__16192426[[#This Row],[Building 2 (kWh)]]*tariffs[[#This Row],[Building 2 (buy)]]</f>
        <v>50.649673500000006</v>
      </c>
      <c r="W17" s="24">
        <f>final_electricity__16192426[[#This Row],[Building 3 (kWh)]]*tariffs[[#This Row],[Building 3 (buy)]]</f>
        <v>59.867764199999996</v>
      </c>
      <c r="X17" s="24">
        <f>final_electricity__16192426[[#This Row],[Community]]*tariffs[[#This Row],[Building 2 (buy)]]</f>
        <v>106.78974870000002</v>
      </c>
      <c r="Z17" s="29">
        <v>14</v>
      </c>
      <c r="AA17" s="24">
        <f>final_electricity__16192426[[#This Row],[ Building 1 (kWh)]]*'Conversion Technologies'!$E$2</f>
        <v>3.4999999999999996E-2</v>
      </c>
      <c r="AB17" s="24">
        <f>final_electricity__16192426[[#This Row],[Building 2 (kWh)]]*'Conversion Technologies'!$E$2</f>
        <v>64.563000000000002</v>
      </c>
      <c r="AC17" s="24">
        <f>final_electricity__16192426[[#This Row],[Building 3 (kWh)]]*'Conversion Technologies'!$E$2</f>
        <v>71.526600000000002</v>
      </c>
      <c r="AD17" s="24">
        <f>final_electricity__16151523[[#This Row],[ Building 1 (kWh)]]+final_electricity__16151523[[#This Row],[Building 2 (kWh)]]+final_electricity__16151523[[#This Row],[Building 3 (kWh)]]</f>
        <v>136.12459999999999</v>
      </c>
    </row>
    <row r="18" spans="1:30" x14ac:dyDescent="0.35">
      <c r="A18" s="29">
        <v>15</v>
      </c>
      <c r="B18" s="24">
        <f>final_electricity__16[[#This Row],[ Building 1 (kWh)]]</f>
        <v>0.23200000000000001</v>
      </c>
      <c r="C18" s="24">
        <f>final_electricity__16[[#This Row],[Building 2 (kWh)]]</f>
        <v>325.81900000000002</v>
      </c>
      <c r="D18" s="24">
        <f>final_electricity__16[[#This Row],[Building 3 (kWh)]]</f>
        <v>367.19799999999998</v>
      </c>
      <c r="E18" s="24">
        <f>final_electricity__16[[#This Row],[Community]]</f>
        <v>693.24900000000002</v>
      </c>
      <c r="G18" s="29">
        <v>15</v>
      </c>
      <c r="H18" s="24">
        <f>climate_data21317[[#This Row],[Heating Electricity (Wh)]]/1000</f>
        <v>0</v>
      </c>
      <c r="I18" s="24">
        <f>climate_data21317[[#This Row],[Cooling Electricity (Wh)]]/1000</f>
        <v>0</v>
      </c>
      <c r="J18" s="24">
        <v>0</v>
      </c>
      <c r="K18" s="24">
        <v>0</v>
      </c>
      <c r="L18" s="24">
        <f>SUM(final_electricity__16192425[[#This Row],[Heating (kWh)]]:final_electricity__16192425[[#This Row],[Water heating (kWh)]])</f>
        <v>0</v>
      </c>
      <c r="N18" s="29">
        <v>15</v>
      </c>
      <c r="O18" s="24">
        <f>final_electricity__161924[[#This Row],[ Building 1 (kWh)]]+final_electricity__16192425[[#This Row],[Total]]</f>
        <v>0.23200000000000001</v>
      </c>
      <c r="P18" s="24">
        <f>final_electricity__161924[[#This Row],[Building 2 (kWh)]]</f>
        <v>325.81900000000002</v>
      </c>
      <c r="Q18" s="24">
        <f>final_electricity__161924[[#This Row],[Building 3 (kWh)]]</f>
        <v>367.19799999999998</v>
      </c>
      <c r="R18" s="24">
        <f>SUM(final_electricity__16192426[[#This Row],[ Building 1 (kWh)]]:final_electricity__16192426[[#This Row],[Building 3 (kWh)]])</f>
        <v>693.24900000000002</v>
      </c>
      <c r="T18" s="29">
        <v>15</v>
      </c>
      <c r="U18" s="24">
        <f>final_electricity__16192426[[#This Row],[ Building 1 (kWh)]]*tariffs[[#This Row],[Building 1 (buy)]]</f>
        <v>4.5379200000000001E-2</v>
      </c>
      <c r="V18" s="24">
        <f>final_electricity__16192426[[#This Row],[Building 2 (kWh)]]*tariffs[[#This Row],[Building 2 (buy)]]</f>
        <v>51.121001100000008</v>
      </c>
      <c r="W18" s="24">
        <f>final_electricity__16192426[[#This Row],[Building 3 (kWh)]]*tariffs[[#This Row],[Building 3 (buy)]]</f>
        <v>61.468945199999993</v>
      </c>
      <c r="X18" s="24">
        <f>final_electricity__16192426[[#This Row],[Community]]*tariffs[[#This Row],[Building 2 (buy)]]</f>
        <v>108.77076810000001</v>
      </c>
      <c r="Z18" s="29">
        <v>15</v>
      </c>
      <c r="AA18" s="24">
        <f>final_electricity__16192426[[#This Row],[ Building 1 (kWh)]]*'Conversion Technologies'!$E$2</f>
        <v>4.6400000000000004E-2</v>
      </c>
      <c r="AB18" s="24">
        <f>final_electricity__16192426[[#This Row],[Building 2 (kWh)]]*'Conversion Technologies'!$E$2</f>
        <v>65.163800000000009</v>
      </c>
      <c r="AC18" s="24">
        <f>final_electricity__16192426[[#This Row],[Building 3 (kWh)]]*'Conversion Technologies'!$E$2</f>
        <v>73.439599999999999</v>
      </c>
      <c r="AD18" s="24">
        <f>final_electricity__16151523[[#This Row],[ Building 1 (kWh)]]+final_electricity__16151523[[#This Row],[Building 2 (kWh)]]+final_electricity__16151523[[#This Row],[Building 3 (kWh)]]</f>
        <v>138.64980000000003</v>
      </c>
    </row>
    <row r="19" spans="1:30" x14ac:dyDescent="0.35">
      <c r="A19" s="29">
        <v>16</v>
      </c>
      <c r="B19" s="24">
        <f>final_electricity__16[[#This Row],[ Building 1 (kWh)]]</f>
        <v>0.161</v>
      </c>
      <c r="C19" s="24">
        <f>final_electricity__16[[#This Row],[Building 2 (kWh)]]</f>
        <v>305.94099999999997</v>
      </c>
      <c r="D19" s="24">
        <f>final_electricity__16[[#This Row],[Building 3 (kWh)]]</f>
        <v>356.8</v>
      </c>
      <c r="E19" s="24">
        <f>final_electricity__16[[#This Row],[Community]]</f>
        <v>662.90200000000004</v>
      </c>
      <c r="G19" s="29">
        <v>16</v>
      </c>
      <c r="H19" s="24">
        <f>climate_data21317[[#This Row],[Heating Electricity (Wh)]]/1000</f>
        <v>0</v>
      </c>
      <c r="I19" s="24">
        <f>climate_data21317[[#This Row],[Cooling Electricity (Wh)]]/1000</f>
        <v>0</v>
      </c>
      <c r="J19" s="24">
        <v>0</v>
      </c>
      <c r="K19" s="24">
        <v>0</v>
      </c>
      <c r="L19" s="24">
        <f>SUM(final_electricity__16192425[[#This Row],[Heating (kWh)]]:final_electricity__16192425[[#This Row],[Water heating (kWh)]])</f>
        <v>0</v>
      </c>
      <c r="N19" s="29">
        <v>16</v>
      </c>
      <c r="O19" s="24">
        <f>final_electricity__161924[[#This Row],[ Building 1 (kWh)]]+final_electricity__16192425[[#This Row],[Total]]</f>
        <v>0.161</v>
      </c>
      <c r="P19" s="24">
        <f>final_electricity__161924[[#This Row],[Building 2 (kWh)]]</f>
        <v>305.94099999999997</v>
      </c>
      <c r="Q19" s="24">
        <f>final_electricity__161924[[#This Row],[Building 3 (kWh)]]</f>
        <v>356.8</v>
      </c>
      <c r="R19" s="24">
        <f>SUM(final_electricity__16192426[[#This Row],[ Building 1 (kWh)]]:final_electricity__16192426[[#This Row],[Building 3 (kWh)]])</f>
        <v>662.90200000000004</v>
      </c>
      <c r="T19" s="29">
        <v>16</v>
      </c>
      <c r="U19" s="24">
        <f>final_electricity__16192426[[#This Row],[ Building 1 (kWh)]]*tariffs[[#This Row],[Building 1 (buy)]]</f>
        <v>3.1491600000000002E-2</v>
      </c>
      <c r="V19" s="24">
        <f>final_electricity__16192426[[#This Row],[Building 2 (kWh)]]*tariffs[[#This Row],[Building 2 (buy)]]</f>
        <v>48.002142900000003</v>
      </c>
      <c r="W19" s="24">
        <f>final_electricity__16192426[[#This Row],[Building 3 (kWh)]]*tariffs[[#This Row],[Building 3 (buy)]]</f>
        <v>59.728319999999997</v>
      </c>
      <c r="X19" s="24">
        <f>final_electricity__16192426[[#This Row],[Community]]*tariffs[[#This Row],[Building 2 (buy)]]</f>
        <v>104.00932380000002</v>
      </c>
      <c r="Z19" s="29">
        <v>16</v>
      </c>
      <c r="AA19" s="24">
        <f>final_electricity__16192426[[#This Row],[ Building 1 (kWh)]]*'Conversion Technologies'!$E$2</f>
        <v>3.2199999999999999E-2</v>
      </c>
      <c r="AB19" s="24">
        <f>final_electricity__16192426[[#This Row],[Building 2 (kWh)]]*'Conversion Technologies'!$E$2</f>
        <v>61.188199999999995</v>
      </c>
      <c r="AC19" s="24">
        <f>final_electricity__16192426[[#This Row],[Building 3 (kWh)]]*'Conversion Technologies'!$E$2</f>
        <v>71.36</v>
      </c>
      <c r="AD19" s="24">
        <f>final_electricity__16151523[[#This Row],[ Building 1 (kWh)]]+final_electricity__16151523[[#This Row],[Building 2 (kWh)]]+final_electricity__16151523[[#This Row],[Building 3 (kWh)]]</f>
        <v>132.5804</v>
      </c>
    </row>
    <row r="20" spans="1:30" x14ac:dyDescent="0.35">
      <c r="A20" s="29">
        <v>17</v>
      </c>
      <c r="B20" s="24">
        <f>final_electricity__16[[#This Row],[ Building 1 (kWh)]]</f>
        <v>0.28699999999999998</v>
      </c>
      <c r="C20" s="24">
        <f>final_electricity__16[[#This Row],[Building 2 (kWh)]]</f>
        <v>272.05799999999999</v>
      </c>
      <c r="D20" s="24">
        <f>final_electricity__16[[#This Row],[Building 3 (kWh)]]</f>
        <v>330.608</v>
      </c>
      <c r="E20" s="24">
        <f>final_electricity__16[[#This Row],[Community]]</f>
        <v>602.95299999999997</v>
      </c>
      <c r="G20" s="29">
        <v>17</v>
      </c>
      <c r="H20" s="24">
        <f>climate_data21317[[#This Row],[Heating Electricity (Wh)]]/1000</f>
        <v>0</v>
      </c>
      <c r="I20" s="24">
        <f>climate_data21317[[#This Row],[Cooling Electricity (Wh)]]/1000</f>
        <v>0</v>
      </c>
      <c r="J20" s="24">
        <v>0</v>
      </c>
      <c r="K20" s="24">
        <v>0</v>
      </c>
      <c r="L20" s="24">
        <f>SUM(final_electricity__16192425[[#This Row],[Heating (kWh)]]:final_electricity__16192425[[#This Row],[Water heating (kWh)]])</f>
        <v>0</v>
      </c>
      <c r="N20" s="29">
        <v>17</v>
      </c>
      <c r="O20" s="24">
        <f>final_electricity__161924[[#This Row],[ Building 1 (kWh)]]+final_electricity__16192425[[#This Row],[Total]]</f>
        <v>0.28699999999999998</v>
      </c>
      <c r="P20" s="24">
        <f>final_electricity__161924[[#This Row],[Building 2 (kWh)]]</f>
        <v>272.05799999999999</v>
      </c>
      <c r="Q20" s="24">
        <f>final_electricity__161924[[#This Row],[Building 3 (kWh)]]</f>
        <v>330.608</v>
      </c>
      <c r="R20" s="24">
        <f>SUM(final_electricity__16192426[[#This Row],[ Building 1 (kWh)]]:final_electricity__16192426[[#This Row],[Building 3 (kWh)]])</f>
        <v>602.95299999999997</v>
      </c>
      <c r="T20" s="29">
        <v>17</v>
      </c>
      <c r="U20" s="24">
        <f>final_electricity__16192426[[#This Row],[ Building 1 (kWh)]]*tariffs[[#This Row],[Building 1 (buy)]]</f>
        <v>5.6137199999999991E-2</v>
      </c>
      <c r="V20" s="24">
        <f>final_electricity__16192426[[#This Row],[Building 2 (kWh)]]*tariffs[[#This Row],[Building 2 (buy)]]</f>
        <v>42.685900199999999</v>
      </c>
      <c r="W20" s="24">
        <f>final_electricity__16192426[[#This Row],[Building 3 (kWh)]]*tariffs[[#This Row],[Building 3 (buy)]]</f>
        <v>55.3437792</v>
      </c>
      <c r="X20" s="24">
        <f>final_electricity__16192426[[#This Row],[Community]]*tariffs[[#This Row],[Building 2 (buy)]]</f>
        <v>94.603325699999999</v>
      </c>
      <c r="Z20" s="29">
        <v>17</v>
      </c>
      <c r="AA20" s="24">
        <f>final_electricity__16192426[[#This Row],[ Building 1 (kWh)]]*'Conversion Technologies'!$E$2</f>
        <v>5.74E-2</v>
      </c>
      <c r="AB20" s="24">
        <f>final_electricity__16192426[[#This Row],[Building 2 (kWh)]]*'Conversion Technologies'!$E$2</f>
        <v>54.4116</v>
      </c>
      <c r="AC20" s="24">
        <f>final_electricity__16192426[[#This Row],[Building 3 (kWh)]]*'Conversion Technologies'!$E$2</f>
        <v>66.121600000000001</v>
      </c>
      <c r="AD20" s="24">
        <f>final_electricity__16151523[[#This Row],[ Building 1 (kWh)]]+final_electricity__16151523[[#This Row],[Building 2 (kWh)]]+final_electricity__16151523[[#This Row],[Building 3 (kWh)]]</f>
        <v>120.59059999999999</v>
      </c>
    </row>
    <row r="21" spans="1:30" x14ac:dyDescent="0.35">
      <c r="A21" s="29">
        <v>18</v>
      </c>
      <c r="B21" s="24">
        <f>final_electricity__16[[#This Row],[ Building 1 (kWh)]]</f>
        <v>0.30199999999999999</v>
      </c>
      <c r="C21" s="24">
        <f>final_electricity__16[[#This Row],[Building 2 (kWh)]]</f>
        <v>225.411</v>
      </c>
      <c r="D21" s="24">
        <f>final_electricity__16[[#This Row],[Building 3 (kWh)]]</f>
        <v>282.596</v>
      </c>
      <c r="E21" s="24">
        <f>final_electricity__16[[#This Row],[Community]]</f>
        <v>508.30899999999997</v>
      </c>
      <c r="G21" s="29">
        <v>18</v>
      </c>
      <c r="H21" s="24">
        <f>climate_data21317[[#This Row],[Heating Electricity (Wh)]]/1000</f>
        <v>0</v>
      </c>
      <c r="I21" s="24">
        <f>climate_data21317[[#This Row],[Cooling Electricity (Wh)]]/1000</f>
        <v>0</v>
      </c>
      <c r="J21" s="24">
        <v>0</v>
      </c>
      <c r="K21" s="24">
        <v>0</v>
      </c>
      <c r="L21" s="24">
        <f>SUM(final_electricity__16192425[[#This Row],[Heating (kWh)]]:final_electricity__16192425[[#This Row],[Water heating (kWh)]])</f>
        <v>0</v>
      </c>
      <c r="N21" s="29">
        <v>18</v>
      </c>
      <c r="O21" s="24">
        <f>final_electricity__161924[[#This Row],[ Building 1 (kWh)]]+final_electricity__16192425[[#This Row],[Total]]</f>
        <v>0.30199999999999999</v>
      </c>
      <c r="P21" s="24">
        <f>final_electricity__161924[[#This Row],[Building 2 (kWh)]]</f>
        <v>225.411</v>
      </c>
      <c r="Q21" s="24">
        <f>final_electricity__161924[[#This Row],[Building 3 (kWh)]]</f>
        <v>282.596</v>
      </c>
      <c r="R21" s="24">
        <f>SUM(final_electricity__16192426[[#This Row],[ Building 1 (kWh)]]:final_electricity__16192426[[#This Row],[Building 3 (kWh)]])</f>
        <v>508.30899999999997</v>
      </c>
      <c r="T21" s="29">
        <v>18</v>
      </c>
      <c r="U21" s="24">
        <f>final_electricity__16192426[[#This Row],[ Building 1 (kWh)]]*tariffs[[#This Row],[Building 1 (buy)]]</f>
        <v>5.9071199999999997E-2</v>
      </c>
      <c r="V21" s="24">
        <f>final_electricity__16192426[[#This Row],[Building 2 (kWh)]]*tariffs[[#This Row],[Building 2 (buy)]]</f>
        <v>35.366985900000003</v>
      </c>
      <c r="W21" s="24">
        <f>final_electricity__16192426[[#This Row],[Building 3 (kWh)]]*tariffs[[#This Row],[Building 3 (buy)]]</f>
        <v>47.306570399999998</v>
      </c>
      <c r="X21" s="24">
        <f>final_electricity__16192426[[#This Row],[Community]]*tariffs[[#This Row],[Building 2 (buy)]]</f>
        <v>79.753682100000006</v>
      </c>
      <c r="Z21" s="29">
        <v>18</v>
      </c>
      <c r="AA21" s="24">
        <f>final_electricity__16192426[[#This Row],[ Building 1 (kWh)]]*'Conversion Technologies'!$E$2</f>
        <v>6.0400000000000002E-2</v>
      </c>
      <c r="AB21" s="24">
        <f>final_electricity__16192426[[#This Row],[Building 2 (kWh)]]*'Conversion Technologies'!$E$2</f>
        <v>45.0822</v>
      </c>
      <c r="AC21" s="24">
        <f>final_electricity__16192426[[#This Row],[Building 3 (kWh)]]*'Conversion Technologies'!$E$2</f>
        <v>56.519200000000005</v>
      </c>
      <c r="AD21" s="24">
        <f>final_electricity__16151523[[#This Row],[ Building 1 (kWh)]]+final_electricity__16151523[[#This Row],[Building 2 (kWh)]]+final_electricity__16151523[[#This Row],[Building 3 (kWh)]]</f>
        <v>101.6618</v>
      </c>
    </row>
    <row r="22" spans="1:30" x14ac:dyDescent="0.35">
      <c r="A22" s="29">
        <v>19</v>
      </c>
      <c r="B22" s="24">
        <f>final_electricity__16[[#This Row],[ Building 1 (kWh)]]</f>
        <v>0.154</v>
      </c>
      <c r="C22" s="24">
        <f>final_electricity__16[[#This Row],[Building 2 (kWh)]]</f>
        <v>200.375</v>
      </c>
      <c r="D22" s="24">
        <f>final_electricity__16[[#This Row],[Building 3 (kWh)]]</f>
        <v>220.05699999999999</v>
      </c>
      <c r="E22" s="24">
        <f>final_electricity__16[[#This Row],[Community]]</f>
        <v>420.58600000000001</v>
      </c>
      <c r="G22" s="29">
        <v>19</v>
      </c>
      <c r="H22" s="24">
        <f>climate_data21317[[#This Row],[Heating Electricity (Wh)]]/1000</f>
        <v>0</v>
      </c>
      <c r="I22" s="24">
        <f>climate_data21317[[#This Row],[Cooling Electricity (Wh)]]/1000</f>
        <v>0</v>
      </c>
      <c r="J22" s="24">
        <v>0</v>
      </c>
      <c r="K22" s="24">
        <v>0</v>
      </c>
      <c r="L22" s="24">
        <f>SUM(final_electricity__16192425[[#This Row],[Heating (kWh)]]:final_electricity__16192425[[#This Row],[Water heating (kWh)]])</f>
        <v>0</v>
      </c>
      <c r="N22" s="29">
        <v>19</v>
      </c>
      <c r="O22" s="24">
        <f>final_electricity__161924[[#This Row],[ Building 1 (kWh)]]+final_electricity__16192425[[#This Row],[Total]]</f>
        <v>0.154</v>
      </c>
      <c r="P22" s="24">
        <f>final_electricity__161924[[#This Row],[Building 2 (kWh)]]</f>
        <v>200.375</v>
      </c>
      <c r="Q22" s="24">
        <f>final_electricity__161924[[#This Row],[Building 3 (kWh)]]</f>
        <v>220.05699999999999</v>
      </c>
      <c r="R22" s="24">
        <f>SUM(final_electricity__16192426[[#This Row],[ Building 1 (kWh)]]:final_electricity__16192426[[#This Row],[Building 3 (kWh)]])</f>
        <v>420.58600000000001</v>
      </c>
      <c r="T22" s="29">
        <v>19</v>
      </c>
      <c r="U22" s="24">
        <f>final_electricity__16192426[[#This Row],[ Building 1 (kWh)]]*tariffs[[#This Row],[Building 1 (buy)]]</f>
        <v>3.0122400000000001E-2</v>
      </c>
      <c r="V22" s="24">
        <f>final_electricity__16192426[[#This Row],[Building 2 (kWh)]]*tariffs[[#This Row],[Building 2 (buy)]]</f>
        <v>35.185850000000002</v>
      </c>
      <c r="W22" s="24">
        <f>final_electricity__16192426[[#This Row],[Building 3 (kWh)]]*tariffs[[#This Row],[Building 3 (buy)]]</f>
        <v>38.620003499999996</v>
      </c>
      <c r="X22" s="24">
        <f>final_electricity__16192426[[#This Row],[Community]]*tariffs[[#This Row],[Building 2 (buy)]]</f>
        <v>73.854901600000005</v>
      </c>
      <c r="Z22" s="29">
        <v>19</v>
      </c>
      <c r="AA22" s="24">
        <f>final_electricity__16192426[[#This Row],[ Building 1 (kWh)]]*'Conversion Technologies'!$E$2</f>
        <v>3.0800000000000001E-2</v>
      </c>
      <c r="AB22" s="24">
        <f>final_electricity__16192426[[#This Row],[Building 2 (kWh)]]*'Conversion Technologies'!$E$2</f>
        <v>40.075000000000003</v>
      </c>
      <c r="AC22" s="24">
        <f>final_electricity__16192426[[#This Row],[Building 3 (kWh)]]*'Conversion Technologies'!$E$2</f>
        <v>44.011400000000002</v>
      </c>
      <c r="AD22" s="24">
        <f>final_electricity__16151523[[#This Row],[ Building 1 (kWh)]]+final_electricity__16151523[[#This Row],[Building 2 (kWh)]]+final_electricity__16151523[[#This Row],[Building 3 (kWh)]]</f>
        <v>84.117199999999997</v>
      </c>
    </row>
    <row r="23" spans="1:30" x14ac:dyDescent="0.35">
      <c r="A23" s="29">
        <v>20</v>
      </c>
      <c r="B23" s="24">
        <f>final_electricity__16[[#This Row],[ Building 1 (kWh)]]</f>
        <v>0.65300000000000002</v>
      </c>
      <c r="C23" s="24">
        <f>final_electricity__16[[#This Row],[Building 2 (kWh)]]</f>
        <v>163.98</v>
      </c>
      <c r="D23" s="24">
        <f>final_electricity__16[[#This Row],[Building 3 (kWh)]]</f>
        <v>178.715</v>
      </c>
      <c r="E23" s="24">
        <f>final_electricity__16[[#This Row],[Community]]</f>
        <v>343.34799999999996</v>
      </c>
      <c r="G23" s="29">
        <v>20</v>
      </c>
      <c r="H23" s="24">
        <f>climate_data21317[[#This Row],[Heating Electricity (Wh)]]/1000</f>
        <v>0</v>
      </c>
      <c r="I23" s="24">
        <f>climate_data21317[[#This Row],[Cooling Electricity (Wh)]]/1000</f>
        <v>0</v>
      </c>
      <c r="J23" s="24">
        <v>0</v>
      </c>
      <c r="K23" s="24">
        <v>0</v>
      </c>
      <c r="L23" s="24">
        <f>SUM(final_electricity__16192425[[#This Row],[Heating (kWh)]]:final_electricity__16192425[[#This Row],[Water heating (kWh)]])</f>
        <v>0</v>
      </c>
      <c r="N23" s="29">
        <v>20</v>
      </c>
      <c r="O23" s="24">
        <f>final_electricity__161924[[#This Row],[ Building 1 (kWh)]]+final_electricity__16192425[[#This Row],[Total]]</f>
        <v>0.65300000000000002</v>
      </c>
      <c r="P23" s="24">
        <f>final_electricity__161924[[#This Row],[Building 2 (kWh)]]</f>
        <v>163.98</v>
      </c>
      <c r="Q23" s="24">
        <f>final_electricity__161924[[#This Row],[Building 3 (kWh)]]</f>
        <v>178.715</v>
      </c>
      <c r="R23" s="24">
        <f>SUM(final_electricity__16192426[[#This Row],[ Building 1 (kWh)]]:final_electricity__16192426[[#This Row],[Building 3 (kWh)]])</f>
        <v>343.34799999999996</v>
      </c>
      <c r="T23" s="29">
        <v>20</v>
      </c>
      <c r="U23" s="24">
        <f>final_electricity__16192426[[#This Row],[ Building 1 (kWh)]]*tariffs[[#This Row],[Building 1 (buy)]]</f>
        <v>0.1277268</v>
      </c>
      <c r="V23" s="24">
        <f>final_electricity__16192426[[#This Row],[Building 2 (kWh)]]*tariffs[[#This Row],[Building 2 (buy)]]</f>
        <v>28.794888</v>
      </c>
      <c r="W23" s="24">
        <f>final_electricity__16192426[[#This Row],[Building 3 (kWh)]]*tariffs[[#This Row],[Building 3 (buy)]]</f>
        <v>31.364482499999998</v>
      </c>
      <c r="X23" s="24">
        <f>final_electricity__16192426[[#This Row],[Community]]*tariffs[[#This Row],[Building 2 (buy)]]</f>
        <v>60.291908799999995</v>
      </c>
      <c r="Z23" s="29">
        <v>20</v>
      </c>
      <c r="AA23" s="24">
        <f>final_electricity__16192426[[#This Row],[ Building 1 (kWh)]]*'Conversion Technologies'!$E$2</f>
        <v>0.13060000000000002</v>
      </c>
      <c r="AB23" s="24">
        <f>final_electricity__16192426[[#This Row],[Building 2 (kWh)]]*'Conversion Technologies'!$E$2</f>
        <v>32.795999999999999</v>
      </c>
      <c r="AC23" s="24">
        <f>final_electricity__16192426[[#This Row],[Building 3 (kWh)]]*'Conversion Technologies'!$E$2</f>
        <v>35.743000000000002</v>
      </c>
      <c r="AD23" s="24">
        <f>final_electricity__16151523[[#This Row],[ Building 1 (kWh)]]+final_electricity__16151523[[#This Row],[Building 2 (kWh)]]+final_electricity__16151523[[#This Row],[Building 3 (kWh)]]</f>
        <v>68.669600000000003</v>
      </c>
    </row>
    <row r="24" spans="1:30" x14ac:dyDescent="0.35">
      <c r="A24" s="29">
        <v>21</v>
      </c>
      <c r="B24" s="24">
        <f>final_electricity__16[[#This Row],[ Building 1 (kWh)]]</f>
        <v>1.663</v>
      </c>
      <c r="C24" s="24">
        <f>final_electricity__16[[#This Row],[Building 2 (kWh)]]</f>
        <v>148.77500000000001</v>
      </c>
      <c r="D24" s="24">
        <f>final_electricity__16[[#This Row],[Building 3 (kWh)]]</f>
        <v>153.333</v>
      </c>
      <c r="E24" s="24">
        <f>final_electricity__16[[#This Row],[Community]]</f>
        <v>303.77100000000002</v>
      </c>
      <c r="G24" s="29">
        <v>21</v>
      </c>
      <c r="H24" s="24">
        <f>climate_data21317[[#This Row],[Heating Electricity (Wh)]]/1000</f>
        <v>0</v>
      </c>
      <c r="I24" s="24">
        <f>climate_data21317[[#This Row],[Cooling Electricity (Wh)]]/1000</f>
        <v>0</v>
      </c>
      <c r="J24" s="24">
        <v>0</v>
      </c>
      <c r="K24" s="24">
        <v>0</v>
      </c>
      <c r="L24" s="24">
        <f>SUM(final_electricity__16192425[[#This Row],[Heating (kWh)]]:final_electricity__16192425[[#This Row],[Water heating (kWh)]])</f>
        <v>0</v>
      </c>
      <c r="N24" s="29">
        <v>21</v>
      </c>
      <c r="O24" s="24">
        <f>final_electricity__161924[[#This Row],[ Building 1 (kWh)]]+final_electricity__16192425[[#This Row],[Total]]</f>
        <v>1.663</v>
      </c>
      <c r="P24" s="24">
        <f>final_electricity__161924[[#This Row],[Building 2 (kWh)]]</f>
        <v>148.77500000000001</v>
      </c>
      <c r="Q24" s="24">
        <f>final_electricity__161924[[#This Row],[Building 3 (kWh)]]</f>
        <v>153.333</v>
      </c>
      <c r="R24" s="24">
        <f>SUM(final_electricity__16192426[[#This Row],[ Building 1 (kWh)]]:final_electricity__16192426[[#This Row],[Building 3 (kWh)]])</f>
        <v>303.77100000000002</v>
      </c>
      <c r="T24" s="29">
        <v>21</v>
      </c>
      <c r="U24" s="24">
        <f>final_electricity__16192426[[#This Row],[ Building 1 (kWh)]]*tariffs[[#This Row],[Building 1 (buy)]]</f>
        <v>0.32528279999999998</v>
      </c>
      <c r="V24" s="24">
        <f>final_electricity__16192426[[#This Row],[Building 2 (kWh)]]*tariffs[[#This Row],[Building 2 (buy)]]</f>
        <v>23.342797500000003</v>
      </c>
      <c r="W24" s="24">
        <f>final_electricity__16192426[[#This Row],[Building 3 (kWh)]]*tariffs[[#This Row],[Building 3 (buy)]]</f>
        <v>25.667944199999997</v>
      </c>
      <c r="X24" s="24">
        <f>final_electricity__16192426[[#This Row],[Community]]*tariffs[[#This Row],[Building 2 (buy)]]</f>
        <v>47.661669900000007</v>
      </c>
      <c r="Z24" s="29">
        <v>21</v>
      </c>
      <c r="AA24" s="24">
        <f>final_electricity__16192426[[#This Row],[ Building 1 (kWh)]]*'Conversion Technologies'!$E$2</f>
        <v>0.33260000000000001</v>
      </c>
      <c r="AB24" s="24">
        <f>final_electricity__16192426[[#This Row],[Building 2 (kWh)]]*'Conversion Technologies'!$E$2</f>
        <v>29.755000000000003</v>
      </c>
      <c r="AC24" s="24">
        <f>final_electricity__16192426[[#This Row],[Building 3 (kWh)]]*'Conversion Technologies'!$E$2</f>
        <v>30.666600000000003</v>
      </c>
      <c r="AD24" s="24">
        <f>final_electricity__16151523[[#This Row],[ Building 1 (kWh)]]+final_electricity__16151523[[#This Row],[Building 2 (kWh)]]+final_electricity__16151523[[#This Row],[Building 3 (kWh)]]</f>
        <v>60.754200000000004</v>
      </c>
    </row>
    <row r="25" spans="1:30" x14ac:dyDescent="0.35">
      <c r="A25" s="29">
        <v>22</v>
      </c>
      <c r="B25" s="24">
        <f>final_electricity__16[[#This Row],[ Building 1 (kWh)]]</f>
        <v>0.755</v>
      </c>
      <c r="C25" s="24">
        <f>final_electricity__16[[#This Row],[Building 2 (kWh)]]</f>
        <v>128.393</v>
      </c>
      <c r="D25" s="24">
        <f>final_electricity__16[[#This Row],[Building 3 (kWh)]]</f>
        <v>138.67599999999999</v>
      </c>
      <c r="E25" s="24">
        <f>final_electricity__16[[#This Row],[Community]]</f>
        <v>267.82399999999996</v>
      </c>
      <c r="G25" s="29">
        <v>22</v>
      </c>
      <c r="H25" s="24">
        <f>climate_data21317[[#This Row],[Heating Electricity (Wh)]]/1000</f>
        <v>0</v>
      </c>
      <c r="I25" s="24">
        <f>climate_data21317[[#This Row],[Cooling Electricity (Wh)]]/1000</f>
        <v>0</v>
      </c>
      <c r="J25" s="24">
        <v>0</v>
      </c>
      <c r="K25" s="24">
        <v>0</v>
      </c>
      <c r="L25" s="24">
        <f>SUM(final_electricity__16192425[[#This Row],[Heating (kWh)]]:final_electricity__16192425[[#This Row],[Water heating (kWh)]])</f>
        <v>0</v>
      </c>
      <c r="N25" s="29">
        <v>22</v>
      </c>
      <c r="O25" s="24">
        <f>final_electricity__161924[[#This Row],[ Building 1 (kWh)]]+final_electricity__16192425[[#This Row],[Total]]</f>
        <v>0.755</v>
      </c>
      <c r="P25" s="24">
        <f>final_electricity__161924[[#This Row],[Building 2 (kWh)]]</f>
        <v>128.393</v>
      </c>
      <c r="Q25" s="24">
        <f>final_electricity__161924[[#This Row],[Building 3 (kWh)]]</f>
        <v>138.67599999999999</v>
      </c>
      <c r="R25" s="24">
        <f>SUM(final_electricity__16192426[[#This Row],[ Building 1 (kWh)]]:final_electricity__16192426[[#This Row],[Building 3 (kWh)]])</f>
        <v>267.82399999999996</v>
      </c>
      <c r="T25" s="29">
        <v>22</v>
      </c>
      <c r="U25" s="24">
        <f>final_electricity__16192426[[#This Row],[ Building 1 (kWh)]]*tariffs[[#This Row],[Building 1 (buy)]]</f>
        <v>0.147678</v>
      </c>
      <c r="V25" s="24">
        <f>final_electricity__16192426[[#This Row],[Building 2 (kWh)]]*tariffs[[#This Row],[Building 2 (buy)]]</f>
        <v>20.1448617</v>
      </c>
      <c r="W25" s="24">
        <f>final_electricity__16192426[[#This Row],[Building 3 (kWh)]]*tariffs[[#This Row],[Building 3 (buy)]]</f>
        <v>23.214362399999995</v>
      </c>
      <c r="X25" s="24">
        <f>final_electricity__16192426[[#This Row],[Community]]*tariffs[[#This Row],[Building 2 (buy)]]</f>
        <v>42.021585599999995</v>
      </c>
      <c r="Z25" s="29">
        <v>22</v>
      </c>
      <c r="AA25" s="24">
        <f>final_electricity__16192426[[#This Row],[ Building 1 (kWh)]]*'Conversion Technologies'!$E$2</f>
        <v>0.15100000000000002</v>
      </c>
      <c r="AB25" s="24">
        <f>final_electricity__16192426[[#This Row],[Building 2 (kWh)]]*'Conversion Technologies'!$E$2</f>
        <v>25.678600000000003</v>
      </c>
      <c r="AC25" s="24">
        <f>final_electricity__16192426[[#This Row],[Building 3 (kWh)]]*'Conversion Technologies'!$E$2</f>
        <v>27.735199999999999</v>
      </c>
      <c r="AD25" s="24">
        <f>final_electricity__16151523[[#This Row],[ Building 1 (kWh)]]+final_electricity__16151523[[#This Row],[Building 2 (kWh)]]+final_electricity__16151523[[#This Row],[Building 3 (kWh)]]</f>
        <v>53.564800000000005</v>
      </c>
    </row>
    <row r="26" spans="1:30" x14ac:dyDescent="0.35">
      <c r="A26" s="29">
        <v>23</v>
      </c>
      <c r="B26" s="24">
        <f>final_electricity__16[[#This Row],[ Building 1 (kWh)]]</f>
        <v>0.44400000000000001</v>
      </c>
      <c r="C26" s="24">
        <f>final_electricity__16[[#This Row],[Building 2 (kWh)]]</f>
        <v>121.883</v>
      </c>
      <c r="D26" s="24">
        <f>final_electricity__16[[#This Row],[Building 3 (kWh)]]</f>
        <v>135.27199999999999</v>
      </c>
      <c r="E26" s="24">
        <f>final_electricity__16[[#This Row],[Community]]</f>
        <v>257.59899999999999</v>
      </c>
      <c r="G26" s="29">
        <v>23</v>
      </c>
      <c r="H26" s="24">
        <f>climate_data21317[[#This Row],[Heating Electricity (Wh)]]/1000</f>
        <v>0</v>
      </c>
      <c r="I26" s="24">
        <f>climate_data21317[[#This Row],[Cooling Electricity (Wh)]]/1000</f>
        <v>0</v>
      </c>
      <c r="J26" s="24">
        <v>0</v>
      </c>
      <c r="K26" s="24">
        <v>0</v>
      </c>
      <c r="L26" s="24">
        <f>SUM(final_electricity__16192425[[#This Row],[Heating (kWh)]]:final_electricity__16192425[[#This Row],[Water heating (kWh)]])</f>
        <v>0</v>
      </c>
      <c r="N26" s="29">
        <v>23</v>
      </c>
      <c r="O26" s="24">
        <f>final_electricity__161924[[#This Row],[ Building 1 (kWh)]]+final_electricity__16192425[[#This Row],[Total]]</f>
        <v>0.44400000000000001</v>
      </c>
      <c r="P26" s="24">
        <f>final_electricity__161924[[#This Row],[Building 2 (kWh)]]</f>
        <v>121.883</v>
      </c>
      <c r="Q26" s="24">
        <f>final_electricity__161924[[#This Row],[Building 3 (kWh)]]</f>
        <v>135.27199999999999</v>
      </c>
      <c r="R26" s="24">
        <f>SUM(final_electricity__16192426[[#This Row],[ Building 1 (kWh)]]:final_electricity__16192426[[#This Row],[Building 3 (kWh)]])</f>
        <v>257.59899999999999</v>
      </c>
      <c r="T26" s="29">
        <v>23</v>
      </c>
      <c r="U26" s="24">
        <f>final_electricity__16192426[[#This Row],[ Building 1 (kWh)]]*tariffs[[#This Row],[Building 1 (buy)]]</f>
        <v>8.6846400000000004E-2</v>
      </c>
      <c r="V26" s="24">
        <f>final_electricity__16192426[[#This Row],[Building 2 (kWh)]]*tariffs[[#This Row],[Building 2 (buy)]]</f>
        <v>19.123442700000002</v>
      </c>
      <c r="W26" s="24">
        <f>final_electricity__16192426[[#This Row],[Building 3 (kWh)]]*tariffs[[#This Row],[Building 3 (buy)]]</f>
        <v>22.644532799999997</v>
      </c>
      <c r="X26" s="24">
        <f>final_electricity__16192426[[#This Row],[Community]]*tariffs[[#This Row],[Building 2 (buy)]]</f>
        <v>40.417283099999999</v>
      </c>
      <c r="Z26" s="29">
        <v>23</v>
      </c>
      <c r="AA26" s="24">
        <f>final_electricity__16192426[[#This Row],[ Building 1 (kWh)]]*'Conversion Technologies'!$E$2</f>
        <v>8.8800000000000004E-2</v>
      </c>
      <c r="AB26" s="24">
        <f>final_electricity__16192426[[#This Row],[Building 2 (kWh)]]*'Conversion Technologies'!$E$2</f>
        <v>24.3766</v>
      </c>
      <c r="AC26" s="24">
        <f>final_electricity__16192426[[#This Row],[Building 3 (kWh)]]*'Conversion Technologies'!$E$2</f>
        <v>27.054400000000001</v>
      </c>
      <c r="AD26" s="24">
        <f>final_electricity__16151523[[#This Row],[ Building 1 (kWh)]]+final_electricity__16151523[[#This Row],[Building 2 (kWh)]]+final_electricity__16151523[[#This Row],[Building 3 (kWh)]]</f>
        <v>51.519800000000004</v>
      </c>
    </row>
    <row r="27" spans="1:30" x14ac:dyDescent="0.35">
      <c r="A27" s="30" t="s">
        <v>165</v>
      </c>
      <c r="B27" s="24">
        <f>SUM(B3:B26)</f>
        <v>7.8369999999999997</v>
      </c>
      <c r="C27" s="24">
        <f t="shared" ref="C27:E27" si="0">SUM(C3:C26)</f>
        <v>4859.128999999999</v>
      </c>
      <c r="D27" s="24">
        <f t="shared" si="0"/>
        <v>5688.4694</v>
      </c>
      <c r="E27" s="24">
        <f t="shared" si="0"/>
        <v>10555.435399999998</v>
      </c>
      <c r="G27" s="30" t="s">
        <v>165</v>
      </c>
      <c r="H27" s="24">
        <f>SUM(H3:H26)</f>
        <v>1.1182816776</v>
      </c>
      <c r="I27" s="24">
        <f t="shared" ref="I27" si="1">SUM(I3:I26)</f>
        <v>0</v>
      </c>
      <c r="J27" s="24">
        <f t="shared" ref="J27" si="2">SUM(J3:J26)</f>
        <v>14.723587562495485</v>
      </c>
      <c r="K27" s="32">
        <f t="shared" ref="K27" si="3">SUM(K3:K26)</f>
        <v>2.0684523809523809</v>
      </c>
      <c r="L27" s="24">
        <f>SUM(final_electricity__16192425[[#This Row],[Heating (kWh)]]:final_electricity__16192425[[#This Row],[Water heating (kWh)]])</f>
        <v>17.910321621047867</v>
      </c>
      <c r="N27" s="30" t="s">
        <v>165</v>
      </c>
      <c r="O27" s="24">
        <f>SUM(O3:O26)</f>
        <v>25.747321621047867</v>
      </c>
      <c r="P27" s="24">
        <f t="shared" ref="P27" si="4">SUM(P3:P26)</f>
        <v>4859.128999999999</v>
      </c>
      <c r="Q27" s="24">
        <f t="shared" ref="Q27" si="5">SUM(Q3:Q26)</f>
        <v>5688.4694</v>
      </c>
      <c r="R27" s="24">
        <f t="shared" ref="R27" si="6">SUM(R3:R26)</f>
        <v>10573.345721621046</v>
      </c>
      <c r="T27" s="27" t="s">
        <v>165</v>
      </c>
      <c r="U27" s="27">
        <f>SUM(U3:U26)</f>
        <v>3.4386981546607576</v>
      </c>
      <c r="V27" s="27">
        <f t="shared" ref="V27:W27" si="7">SUM(V3:V26)</f>
        <v>736.45668079999996</v>
      </c>
      <c r="W27" s="27">
        <f t="shared" si="7"/>
        <v>920.44633620000002</v>
      </c>
      <c r="X27" s="27">
        <f>SUM(X3:X26)</f>
        <v>1613.0250786310526</v>
      </c>
      <c r="Z27" s="27" t="s">
        <v>165</v>
      </c>
      <c r="AA27" s="27">
        <f>SUM(AA3:AA26)</f>
        <v>5.149464324209573</v>
      </c>
      <c r="AB27" s="27">
        <f t="shared" ref="AB27:AC27" si="8">SUM(AB3:AB26)</f>
        <v>971.82580000000019</v>
      </c>
      <c r="AC27" s="27">
        <f t="shared" si="8"/>
        <v>1137.6938800000003</v>
      </c>
      <c r="AD27" s="27">
        <f>final_electricity__16151523[[#This Row],[ Building 1 (kWh)]]+final_electricity__16151523[[#This Row],[Building 2 (kWh)]]+final_electricity__16151523[[#This Row],[Building 3 (kWh)]]</f>
        <v>2114.6691443242098</v>
      </c>
    </row>
    <row r="29" spans="1:30" x14ac:dyDescent="0.35">
      <c r="K29" s="23"/>
    </row>
    <row r="31" spans="1:30" x14ac:dyDescent="0.35">
      <c r="K31" s="23"/>
    </row>
    <row r="32" spans="1:30" x14ac:dyDescent="0.35">
      <c r="K32" s="23"/>
    </row>
  </sheetData>
  <mergeCells count="5">
    <mergeCell ref="A1:E1"/>
    <mergeCell ref="G1:L1"/>
    <mergeCell ref="N1:R1"/>
    <mergeCell ref="T1:X1"/>
    <mergeCell ref="Z1:AD1"/>
  </mergeCells>
  <pageMargins left="0.7" right="0.7" top="0.75" bottom="0.75" header="0.3" footer="0.3"/>
  <ignoredErrors>
    <ignoredError sqref="E27 K3:K27 R3:R27 X27" calculatedColumn="1"/>
  </ignoredErrors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870F1-56B0-4DC0-BF99-29AC1F141E32}">
  <sheetPr codeName="Sheet8"/>
  <dimension ref="A1:AU60"/>
  <sheetViews>
    <sheetView zoomScale="60" zoomScaleNormal="60" workbookViewId="0">
      <selection sqref="A1:E1"/>
    </sheetView>
  </sheetViews>
  <sheetFormatPr defaultRowHeight="14.5" x14ac:dyDescent="0.35"/>
  <cols>
    <col min="1" max="1" width="11" customWidth="1"/>
    <col min="2" max="2" width="19.90625" customWidth="1"/>
    <col min="3" max="3" width="19.6328125" customWidth="1"/>
    <col min="4" max="4" width="19.08984375" customWidth="1"/>
    <col min="5" max="5" width="17.54296875" customWidth="1"/>
    <col min="7" max="7" width="10.36328125" customWidth="1"/>
    <col min="8" max="8" width="20.7265625" customWidth="1"/>
    <col min="9" max="9" width="19.90625" customWidth="1"/>
    <col min="10" max="10" width="19.6328125" customWidth="1"/>
    <col min="11" max="11" width="16.26953125" customWidth="1"/>
    <col min="13" max="13" width="11.6328125" customWidth="1"/>
    <col min="14" max="14" width="21.6328125" customWidth="1"/>
    <col min="15" max="15" width="18.26953125" customWidth="1"/>
    <col min="16" max="16" width="19.6328125" customWidth="1"/>
    <col min="17" max="17" width="20.08984375" customWidth="1"/>
    <col min="18" max="18" width="21.453125" customWidth="1"/>
    <col min="19" max="19" width="19.36328125" customWidth="1"/>
    <col min="20" max="20" width="19.08984375" customWidth="1"/>
    <col min="21" max="21" width="19.81640625" customWidth="1"/>
    <col min="22" max="22" width="18.81640625" customWidth="1"/>
    <col min="23" max="23" width="25.81640625" customWidth="1"/>
    <col min="24" max="24" width="21.90625" customWidth="1"/>
    <col min="25" max="25" width="23.26953125" customWidth="1"/>
    <col min="26" max="26" width="20.7265625" customWidth="1"/>
    <col min="27" max="27" width="20.08984375" customWidth="1"/>
    <col min="28" max="28" width="19.81640625" customWidth="1"/>
    <col min="29" max="29" width="18.26953125" customWidth="1"/>
    <col min="30" max="30" width="20.54296875" customWidth="1"/>
    <col min="31" max="31" width="19.26953125" customWidth="1"/>
    <col min="32" max="32" width="20.26953125" customWidth="1"/>
    <col min="33" max="33" width="20" customWidth="1"/>
    <col min="34" max="34" width="19.1796875" customWidth="1"/>
    <col min="35" max="35" width="15.54296875" customWidth="1"/>
    <col min="36" max="36" width="21.26953125" customWidth="1"/>
    <col min="37" max="37" width="19.6328125" customWidth="1"/>
    <col min="38" max="38" width="20.81640625" customWidth="1"/>
    <col min="39" max="39" width="19.26953125" customWidth="1"/>
    <col min="40" max="40" width="19.6328125" customWidth="1"/>
    <col min="41" max="41" width="16.453125" customWidth="1"/>
    <col min="42" max="42" width="20.1796875" customWidth="1"/>
    <col min="43" max="43" width="18.90625" customWidth="1"/>
    <col min="44" max="44" width="21.1796875" customWidth="1"/>
    <col min="45" max="45" width="19.90625" customWidth="1"/>
    <col min="46" max="46" width="19.7265625" customWidth="1"/>
    <col min="47" max="47" width="15.81640625" customWidth="1"/>
  </cols>
  <sheetData>
    <row r="1" spans="1:47" ht="18.5" x14ac:dyDescent="0.45">
      <c r="A1" s="106" t="s">
        <v>174</v>
      </c>
      <c r="B1" s="106"/>
      <c r="C1" s="106"/>
      <c r="D1" s="106"/>
      <c r="E1" s="106"/>
      <c r="G1" s="106" t="s">
        <v>175</v>
      </c>
      <c r="H1" s="106"/>
      <c r="I1" s="106"/>
      <c r="J1" s="106"/>
      <c r="K1" s="106"/>
      <c r="M1" s="106" t="s">
        <v>180</v>
      </c>
      <c r="N1" s="106"/>
      <c r="O1" s="106"/>
      <c r="P1" s="106"/>
      <c r="Q1" s="31"/>
      <c r="R1" s="106" t="s">
        <v>181</v>
      </c>
      <c r="S1" s="106"/>
      <c r="T1" s="106"/>
      <c r="U1" s="106"/>
      <c r="V1" s="31"/>
      <c r="W1" s="106" t="s">
        <v>182</v>
      </c>
      <c r="X1" s="106"/>
      <c r="Y1" s="106"/>
      <c r="Z1" s="106"/>
      <c r="AA1" s="31"/>
      <c r="AB1" s="106" t="s">
        <v>183</v>
      </c>
      <c r="AC1" s="106"/>
      <c r="AD1" s="106"/>
      <c r="AE1" s="106"/>
      <c r="AF1" s="106"/>
      <c r="AG1" s="31"/>
      <c r="AH1" s="106" t="s">
        <v>184</v>
      </c>
      <c r="AI1" s="106"/>
      <c r="AJ1" s="106"/>
      <c r="AK1" s="106"/>
      <c r="AL1" s="31"/>
      <c r="AM1" s="106" t="s">
        <v>185</v>
      </c>
      <c r="AN1" s="106"/>
      <c r="AO1" s="106"/>
      <c r="AP1" s="106"/>
      <c r="AR1" s="31"/>
      <c r="AS1" s="31"/>
      <c r="AT1" s="31"/>
      <c r="AU1" s="31"/>
    </row>
    <row r="2" spans="1:47" x14ac:dyDescent="0.35">
      <c r="A2" s="24" t="s">
        <v>3</v>
      </c>
      <c r="B2" s="24" t="s">
        <v>79</v>
      </c>
      <c r="C2" s="24" t="s">
        <v>80</v>
      </c>
      <c r="D2" s="24" t="s">
        <v>0</v>
      </c>
      <c r="E2" s="24" t="s">
        <v>8</v>
      </c>
      <c r="G2" s="24" t="s">
        <v>3</v>
      </c>
      <c r="H2" s="24" t="s">
        <v>79</v>
      </c>
      <c r="I2" s="24" t="s">
        <v>80</v>
      </c>
      <c r="J2" s="24" t="s">
        <v>0</v>
      </c>
      <c r="K2" s="24" t="s">
        <v>8</v>
      </c>
      <c r="M2" s="24" t="s">
        <v>3</v>
      </c>
      <c r="N2" s="24" t="s">
        <v>79</v>
      </c>
      <c r="O2" s="24" t="s">
        <v>80</v>
      </c>
      <c r="P2" s="24" t="s">
        <v>0</v>
      </c>
      <c r="R2" s="24" t="s">
        <v>3</v>
      </c>
      <c r="S2" s="24" t="s">
        <v>79</v>
      </c>
      <c r="T2" s="24" t="s">
        <v>80</v>
      </c>
      <c r="U2" s="24" t="s">
        <v>0</v>
      </c>
      <c r="W2" s="24" t="s">
        <v>3</v>
      </c>
      <c r="X2" s="24" t="s">
        <v>79</v>
      </c>
      <c r="Y2" s="24" t="s">
        <v>80</v>
      </c>
      <c r="Z2" s="24" t="s">
        <v>0</v>
      </c>
      <c r="AB2" s="24" t="s">
        <v>3</v>
      </c>
      <c r="AC2" s="24" t="s">
        <v>79</v>
      </c>
      <c r="AD2" s="24" t="s">
        <v>80</v>
      </c>
      <c r="AE2" s="24" t="s">
        <v>0</v>
      </c>
      <c r="AF2" s="24" t="s">
        <v>8</v>
      </c>
      <c r="AH2" s="24" t="s">
        <v>3</v>
      </c>
      <c r="AI2" s="24" t="s">
        <v>79</v>
      </c>
      <c r="AJ2" s="24" t="s">
        <v>80</v>
      </c>
      <c r="AK2" s="24" t="s">
        <v>0</v>
      </c>
      <c r="AM2" s="24" t="s">
        <v>3</v>
      </c>
      <c r="AN2" s="24" t="s">
        <v>79</v>
      </c>
      <c r="AO2" s="24" t="s">
        <v>80</v>
      </c>
      <c r="AP2" s="24" t="s">
        <v>0</v>
      </c>
    </row>
    <row r="3" spans="1:47" x14ac:dyDescent="0.35">
      <c r="A3" s="29">
        <v>0</v>
      </c>
      <c r="B3" s="24">
        <f>final_electricity__161924[[#This Row],[ Building 1 (kWh)]]+final_electricity__16192425[[#This Row],[Total]]</f>
        <v>2.2950851974523809</v>
      </c>
      <c r="C3" s="24">
        <f>final_electricity__161924[[#This Row],[Building 2 (kWh)]]</f>
        <v>126.105</v>
      </c>
      <c r="D3" s="24">
        <f>final_electricity__161924[[#This Row],[Building 3 (kWh)]]</f>
        <v>122.83199999999999</v>
      </c>
      <c r="E3" s="24">
        <f>SUM(final_electricity__1619242630[[#This Row],[ Building 1 (kWh)]]:final_electricity__1619242630[[#This Row],[Building 3 (kWh)]])</f>
        <v>251.23208519745239</v>
      </c>
      <c r="G3" s="29">
        <v>0</v>
      </c>
      <c r="H3" s="32">
        <f>final_electricity__118[[#This Row],[Generation]]/1000*('Conversion Technologies'!$I$11/('Conversion Technologies'!$I$2/1000))</f>
        <v>0</v>
      </c>
      <c r="I3" s="32">
        <f>('Conversion Technologies'!$I$12/'Conversion Technologies'!$I$11)*H3</f>
        <v>0</v>
      </c>
      <c r="J3" s="32">
        <f>('Conversion Technologies'!$I$13/'Conversion Technologies'!$I$11)*H3</f>
        <v>0</v>
      </c>
      <c r="K3" s="32">
        <f>SUM(final_electricity__161924263031[[#This Row],[ Building 1 (kWh)]]:final_electricity__161924263031[[#This Row],[Building 3 (kWh)]])</f>
        <v>0</v>
      </c>
      <c r="M3" s="29">
        <v>0</v>
      </c>
      <c r="N3" s="24">
        <f>IF(B3-H3&gt;0,B3-H3,0)</f>
        <v>2.2950851974523809</v>
      </c>
      <c r="O3" s="24">
        <f>IF(C3-I3&gt;0,C3-I3,0)</f>
        <v>126.105</v>
      </c>
      <c r="P3" s="24">
        <f>IF(D3-J3&gt;0,D3-J3,0)</f>
        <v>122.83199999999999</v>
      </c>
      <c r="R3" s="29">
        <v>0</v>
      </c>
      <c r="S3" s="24">
        <f>IF(H3-B3&gt;0,-(H3-B3),0)</f>
        <v>0</v>
      </c>
      <c r="T3" s="24">
        <f t="shared" ref="T3:T26" si="0">IF(I3-C3&gt;0,-(I3-C3),0)</f>
        <v>0</v>
      </c>
      <c r="U3" s="24">
        <f t="shared" ref="U3:U26" si="1">IF(J3-D3&gt;0,-(J3-D3),0)</f>
        <v>0</v>
      </c>
      <c r="W3" s="29">
        <v>0</v>
      </c>
      <c r="X3" s="24">
        <f>N3*tariffs[[#This Row],[Building 1 (buy)]]</f>
        <v>0.25016428652230954</v>
      </c>
      <c r="Y3" s="24">
        <f>O3*tariffs[[#This Row],[Building 2 (buy)]]</f>
        <v>14.4642435</v>
      </c>
      <c r="Z3" s="24">
        <f>P3*tariffs[[#This Row],[Building 3 (buy)]]</f>
        <v>14.887238399999999</v>
      </c>
      <c r="AB3" s="29">
        <v>0</v>
      </c>
      <c r="AC3" s="24">
        <f>H3*'Conversion Technologies'!$I$8</f>
        <v>0</v>
      </c>
      <c r="AD3" s="24">
        <f>I3*'Conversion Technologies'!$I$8</f>
        <v>0</v>
      </c>
      <c r="AE3" s="24">
        <f>J3*'Conversion Technologies'!$I$8</f>
        <v>0</v>
      </c>
      <c r="AF3" s="24">
        <f>SUM(final_electricity__16192426303132333435[[#This Row],[ Building 1 (kWh)]]:final_electricity__16192426303132333435[[#This Row],[Building 3 (kWh)]])</f>
        <v>0</v>
      </c>
      <c r="AH3" s="29">
        <v>0</v>
      </c>
      <c r="AI3" s="32">
        <f>-S3*tariffs[[#This Row],[Building 1 (sell)]]</f>
        <v>0</v>
      </c>
      <c r="AJ3" s="32">
        <f>-T3*tariffs[[#This Row],[Building 2 (sell)]]</f>
        <v>0</v>
      </c>
      <c r="AK3" s="32">
        <f>-U3*tariffs[[#This Row],[Building 3 (sell)]]</f>
        <v>0</v>
      </c>
      <c r="AM3" s="29">
        <v>0</v>
      </c>
      <c r="AN3" s="24">
        <f>N3*'Conversion Technologies'!$E$2</f>
        <v>0.45901703949047623</v>
      </c>
      <c r="AO3" s="24">
        <f>O3*'Conversion Technologies'!$E$2</f>
        <v>25.221000000000004</v>
      </c>
      <c r="AP3" s="24">
        <f>P3*'Conversion Technologies'!$E$2</f>
        <v>24.566400000000002</v>
      </c>
    </row>
    <row r="4" spans="1:47" x14ac:dyDescent="0.35">
      <c r="A4" s="29">
        <v>1</v>
      </c>
      <c r="B4" s="24">
        <f>final_electricity__161924[[#This Row],[ Building 1 (kWh)]]+final_electricity__16192425[[#This Row],[Total]]</f>
        <v>0.22495814460000002</v>
      </c>
      <c r="C4" s="24">
        <f>final_electricity__161924[[#This Row],[Building 2 (kWh)]]</f>
        <v>124.566</v>
      </c>
      <c r="D4" s="24">
        <f>final_electricity__161924[[#This Row],[Building 3 (kWh)]]</f>
        <v>121.10599999999999</v>
      </c>
      <c r="E4" s="24">
        <f>SUM(final_electricity__1619242630[[#This Row],[ Building 1 (kWh)]]:final_electricity__1619242630[[#This Row],[Building 3 (kWh)]])</f>
        <v>245.89695814459998</v>
      </c>
      <c r="G4" s="29">
        <v>1</v>
      </c>
      <c r="H4" s="32">
        <f>final_electricity__118[[#This Row],[Generation]]/1000*('Conversion Technologies'!$I$11/('Conversion Technologies'!$I$2/1000))</f>
        <v>0</v>
      </c>
      <c r="I4" s="32">
        <f>('Conversion Technologies'!$I$12/'Conversion Technologies'!$I$11)*H4</f>
        <v>0</v>
      </c>
      <c r="J4" s="32">
        <f>('Conversion Technologies'!$I$13/'Conversion Technologies'!$I$11)*H4</f>
        <v>0</v>
      </c>
      <c r="K4" s="32">
        <f>SUM(final_electricity__161924263031[[#This Row],[ Building 1 (kWh)]]:final_electricity__161924263031[[#This Row],[Building 3 (kWh)]])</f>
        <v>0</v>
      </c>
      <c r="M4" s="29">
        <v>1</v>
      </c>
      <c r="N4" s="24">
        <f t="shared" ref="N4:N26" si="2">IF(B4-H4&gt;0,B4-H4,0)</f>
        <v>0.22495814460000002</v>
      </c>
      <c r="O4" s="24">
        <f t="shared" ref="O4:O26" si="3">IF(C4-I4&gt;0,C4-I4,0)</f>
        <v>124.566</v>
      </c>
      <c r="P4" s="24">
        <f t="shared" ref="P4:P26" si="4">IF(D4-J4&gt;0,D4-J4,0)</f>
        <v>121.10599999999999</v>
      </c>
      <c r="R4" s="29">
        <v>1</v>
      </c>
      <c r="S4" s="24">
        <f t="shared" ref="S4:S26" si="5">IF(H4-B4&gt;0,-(H4-B4),0)</f>
        <v>0</v>
      </c>
      <c r="T4" s="24">
        <f t="shared" si="0"/>
        <v>0</v>
      </c>
      <c r="U4" s="24">
        <f t="shared" si="1"/>
        <v>0</v>
      </c>
      <c r="W4" s="29">
        <v>1</v>
      </c>
      <c r="X4" s="24">
        <f>N4*tariffs[[#This Row],[Building 1 (buy)]]</f>
        <v>2.4520437761400001E-2</v>
      </c>
      <c r="Y4" s="24">
        <f>O4*tariffs[[#This Row],[Building 2 (buy)]]</f>
        <v>14.287720199999999</v>
      </c>
      <c r="Z4" s="24">
        <f>P4*tariffs[[#This Row],[Building 3 (buy)]]</f>
        <v>14.6780472</v>
      </c>
      <c r="AB4" s="29">
        <v>1</v>
      </c>
      <c r="AC4" s="24">
        <f>H4*'Conversion Technologies'!$I$8</f>
        <v>0</v>
      </c>
      <c r="AD4" s="24">
        <f>I4*'Conversion Technologies'!$I$8</f>
        <v>0</v>
      </c>
      <c r="AE4" s="24">
        <f>J4*'Conversion Technologies'!$I$8</f>
        <v>0</v>
      </c>
      <c r="AF4" s="24">
        <f>SUM(final_electricity__16192426303132333435[[#This Row],[ Building 1 (kWh)]]:final_electricity__16192426303132333435[[#This Row],[Building 3 (kWh)]])</f>
        <v>0</v>
      </c>
      <c r="AH4" s="29">
        <v>1</v>
      </c>
      <c r="AI4" s="32">
        <f>-S4*tariffs[[#This Row],[Building 1 (sell)]]</f>
        <v>0</v>
      </c>
      <c r="AJ4" s="32">
        <f>-T4*tariffs[[#This Row],[Building 2 (sell)]]</f>
        <v>0</v>
      </c>
      <c r="AK4" s="32">
        <f>-U4*tariffs[[#This Row],[Building 3 (sell)]]</f>
        <v>0</v>
      </c>
      <c r="AM4" s="29">
        <v>1</v>
      </c>
      <c r="AN4" s="24">
        <f>N4*'Conversion Technologies'!$E$2</f>
        <v>4.4991628920000006E-2</v>
      </c>
      <c r="AO4" s="24">
        <f>O4*'Conversion Technologies'!$E$2</f>
        <v>24.913200000000003</v>
      </c>
      <c r="AP4" s="24">
        <f>P4*'Conversion Technologies'!$E$2</f>
        <v>24.2212</v>
      </c>
    </row>
    <row r="5" spans="1:47" x14ac:dyDescent="0.35">
      <c r="A5" s="29">
        <v>2</v>
      </c>
      <c r="B5" s="24">
        <f>final_electricity__161924[[#This Row],[ Building 1 (kWh)]]+final_electricity__16192425[[#This Row],[Total]]</f>
        <v>14.936496131695485</v>
      </c>
      <c r="C5" s="24">
        <f>final_electricity__161924[[#This Row],[Building 2 (kWh)]]</f>
        <v>122.24</v>
      </c>
      <c r="D5" s="24">
        <f>final_electricity__161924[[#This Row],[Building 3 (kWh)]]</f>
        <v>111.349</v>
      </c>
      <c r="E5" s="24">
        <f>SUM(final_electricity__1619242630[[#This Row],[ Building 1 (kWh)]]:final_electricity__1619242630[[#This Row],[Building 3 (kWh)]])</f>
        <v>248.52549613169549</v>
      </c>
      <c r="G5" s="29">
        <v>2</v>
      </c>
      <c r="H5" s="32">
        <f>final_electricity__118[[#This Row],[Generation]]/1000*('Conversion Technologies'!$I$11/('Conversion Technologies'!$I$2/1000))</f>
        <v>0</v>
      </c>
      <c r="I5" s="32">
        <f>('Conversion Technologies'!$I$12/'Conversion Technologies'!$I$11)*H5</f>
        <v>0</v>
      </c>
      <c r="J5" s="32">
        <f>('Conversion Technologies'!$I$13/'Conversion Technologies'!$I$11)*H5</f>
        <v>0</v>
      </c>
      <c r="K5" s="32">
        <f>SUM(final_electricity__161924263031[[#This Row],[ Building 1 (kWh)]]:final_electricity__161924263031[[#This Row],[Building 3 (kWh)]])</f>
        <v>0</v>
      </c>
      <c r="M5" s="29">
        <v>2</v>
      </c>
      <c r="N5" s="24">
        <f t="shared" si="2"/>
        <v>14.936496131695485</v>
      </c>
      <c r="O5" s="24">
        <f t="shared" si="3"/>
        <v>122.24</v>
      </c>
      <c r="P5" s="24">
        <f t="shared" si="4"/>
        <v>111.349</v>
      </c>
      <c r="R5" s="29">
        <v>2</v>
      </c>
      <c r="S5" s="24">
        <f t="shared" si="5"/>
        <v>0</v>
      </c>
      <c r="T5" s="24">
        <f t="shared" si="0"/>
        <v>0</v>
      </c>
      <c r="U5" s="24">
        <f t="shared" si="1"/>
        <v>0</v>
      </c>
      <c r="W5" s="29">
        <v>2</v>
      </c>
      <c r="X5" s="24">
        <f>N5*tariffs[[#This Row],[Building 1 (buy)]]</f>
        <v>1.6280780783548079</v>
      </c>
      <c r="Y5" s="24">
        <f>O5*tariffs[[#This Row],[Building 2 (buy)]]</f>
        <v>11.0016</v>
      </c>
      <c r="Z5" s="24">
        <f>P5*tariffs[[#This Row],[Building 3 (buy)]]</f>
        <v>11.8920732</v>
      </c>
      <c r="AB5" s="29">
        <v>2</v>
      </c>
      <c r="AC5" s="24">
        <f>H5*'Conversion Technologies'!$I$8</f>
        <v>0</v>
      </c>
      <c r="AD5" s="24">
        <f>I5*'Conversion Technologies'!$I$8</f>
        <v>0</v>
      </c>
      <c r="AE5" s="24">
        <f>J5*'Conversion Technologies'!$I$8</f>
        <v>0</v>
      </c>
      <c r="AF5" s="24">
        <f>SUM(final_electricity__16192426303132333435[[#This Row],[ Building 1 (kWh)]]:final_electricity__16192426303132333435[[#This Row],[Building 3 (kWh)]])</f>
        <v>0</v>
      </c>
      <c r="AH5" s="29">
        <v>2</v>
      </c>
      <c r="AI5" s="32">
        <f>-S5*tariffs[[#This Row],[Building 1 (sell)]]</f>
        <v>0</v>
      </c>
      <c r="AJ5" s="32">
        <f>-T5*tariffs[[#This Row],[Building 2 (sell)]]</f>
        <v>0</v>
      </c>
      <c r="AK5" s="32">
        <f>-U5*tariffs[[#This Row],[Building 3 (sell)]]</f>
        <v>0</v>
      </c>
      <c r="AM5" s="29">
        <v>2</v>
      </c>
      <c r="AN5" s="24">
        <f>N5*'Conversion Technologies'!$E$2</f>
        <v>2.9872992263390969</v>
      </c>
      <c r="AO5" s="24">
        <f>O5*'Conversion Technologies'!$E$2</f>
        <v>24.448</v>
      </c>
      <c r="AP5" s="24">
        <f>P5*'Conversion Technologies'!$E$2</f>
        <v>22.269800000000004</v>
      </c>
    </row>
    <row r="6" spans="1:47" x14ac:dyDescent="0.35">
      <c r="A6" s="29">
        <v>3</v>
      </c>
      <c r="B6" s="24">
        <f>final_electricity__161924[[#This Row],[ Building 1 (kWh)]]+final_electricity__16192425[[#This Row],[Total]]</f>
        <v>0.21985899380000001</v>
      </c>
      <c r="C6" s="24">
        <f>final_electricity__161924[[#This Row],[Building 2 (kWh)]]</f>
        <v>119.33199999999999</v>
      </c>
      <c r="D6" s="24">
        <f>final_electricity__161924[[#This Row],[Building 3 (kWh)]]</f>
        <v>108.373</v>
      </c>
      <c r="E6" s="24">
        <f>SUM(final_electricity__1619242630[[#This Row],[ Building 1 (kWh)]]:final_electricity__1619242630[[#This Row],[Building 3 (kWh)]])</f>
        <v>227.9248589938</v>
      </c>
      <c r="G6" s="29">
        <v>3</v>
      </c>
      <c r="H6" s="32">
        <f>final_electricity__118[[#This Row],[Generation]]/1000*('Conversion Technologies'!$I$11/('Conversion Technologies'!$I$2/1000))</f>
        <v>0</v>
      </c>
      <c r="I6" s="32">
        <f>('Conversion Technologies'!$I$12/'Conversion Technologies'!$I$11)*H6</f>
        <v>0</v>
      </c>
      <c r="J6" s="32">
        <f>('Conversion Technologies'!$I$13/'Conversion Technologies'!$I$11)*H6</f>
        <v>0</v>
      </c>
      <c r="K6" s="32">
        <f>SUM(final_electricity__161924263031[[#This Row],[ Building 1 (kWh)]]:final_electricity__161924263031[[#This Row],[Building 3 (kWh)]])</f>
        <v>0</v>
      </c>
      <c r="M6" s="29">
        <v>3</v>
      </c>
      <c r="N6" s="24">
        <f t="shared" si="2"/>
        <v>0.21985899380000001</v>
      </c>
      <c r="O6" s="24">
        <f t="shared" si="3"/>
        <v>119.33199999999999</v>
      </c>
      <c r="P6" s="24">
        <f t="shared" si="4"/>
        <v>108.373</v>
      </c>
      <c r="R6" s="29">
        <v>3</v>
      </c>
      <c r="S6" s="24">
        <f t="shared" si="5"/>
        <v>0</v>
      </c>
      <c r="T6" s="24">
        <f t="shared" si="0"/>
        <v>0</v>
      </c>
      <c r="U6" s="24">
        <f t="shared" si="1"/>
        <v>0</v>
      </c>
      <c r="W6" s="29">
        <v>3</v>
      </c>
      <c r="X6" s="24">
        <f>N6*tariffs[[#This Row],[Building 1 (buy)]]</f>
        <v>2.3964630324200001E-2</v>
      </c>
      <c r="Y6" s="24">
        <f>O6*tariffs[[#This Row],[Building 2 (buy)]]</f>
        <v>10.739879999999999</v>
      </c>
      <c r="Z6" s="24">
        <f>P6*tariffs[[#This Row],[Building 3 (buy)]]</f>
        <v>11.574236400000002</v>
      </c>
      <c r="AB6" s="29">
        <v>3</v>
      </c>
      <c r="AC6" s="24">
        <f>H6*'Conversion Technologies'!$I$8</f>
        <v>0</v>
      </c>
      <c r="AD6" s="24">
        <f>I6*'Conversion Technologies'!$I$8</f>
        <v>0</v>
      </c>
      <c r="AE6" s="24">
        <f>J6*'Conversion Technologies'!$I$8</f>
        <v>0</v>
      </c>
      <c r="AF6" s="24">
        <f>SUM(final_electricity__16192426303132333435[[#This Row],[ Building 1 (kWh)]]:final_electricity__16192426303132333435[[#This Row],[Building 3 (kWh)]])</f>
        <v>0</v>
      </c>
      <c r="AH6" s="29">
        <v>3</v>
      </c>
      <c r="AI6" s="32">
        <f>-S6*tariffs[[#This Row],[Building 1 (sell)]]</f>
        <v>0</v>
      </c>
      <c r="AJ6" s="32">
        <f>-T6*tariffs[[#This Row],[Building 2 (sell)]]</f>
        <v>0</v>
      </c>
      <c r="AK6" s="32">
        <f>-U6*tariffs[[#This Row],[Building 3 (sell)]]</f>
        <v>0</v>
      </c>
      <c r="AM6" s="29">
        <v>3</v>
      </c>
      <c r="AN6" s="24">
        <f>N6*'Conversion Technologies'!$E$2</f>
        <v>4.3971798760000007E-2</v>
      </c>
      <c r="AO6" s="24">
        <f>O6*'Conversion Technologies'!$E$2</f>
        <v>23.866399999999999</v>
      </c>
      <c r="AP6" s="24">
        <f>P6*'Conversion Technologies'!$E$2</f>
        <v>21.674600000000002</v>
      </c>
    </row>
    <row r="7" spans="1:47" x14ac:dyDescent="0.35">
      <c r="A7" s="29">
        <v>4</v>
      </c>
      <c r="B7" s="24">
        <f>final_electricity__161924[[#This Row],[ Building 1 (kWh)]]+final_electricity__16192425[[#This Row],[Total]]</f>
        <v>0.24080941840000006</v>
      </c>
      <c r="C7" s="24">
        <f>final_electricity__161924[[#This Row],[Building 2 (kWh)]]</f>
        <v>118.456</v>
      </c>
      <c r="D7" s="24">
        <f>final_electricity__161924[[#This Row],[Building 3 (kWh)]]</f>
        <v>111.221</v>
      </c>
      <c r="E7" s="24">
        <f>SUM(final_electricity__1619242630[[#This Row],[ Building 1 (kWh)]]:final_electricity__1619242630[[#This Row],[Building 3 (kWh)]])</f>
        <v>229.9178094184</v>
      </c>
      <c r="G7" s="29">
        <v>4</v>
      </c>
      <c r="H7" s="32">
        <f>final_electricity__118[[#This Row],[Generation]]/1000*('Conversion Technologies'!$I$11/('Conversion Technologies'!$I$2/1000))</f>
        <v>0</v>
      </c>
      <c r="I7" s="32">
        <f>('Conversion Technologies'!$I$12/'Conversion Technologies'!$I$11)*H7</f>
        <v>0</v>
      </c>
      <c r="J7" s="32">
        <f>('Conversion Technologies'!$I$13/'Conversion Technologies'!$I$11)*H7</f>
        <v>0</v>
      </c>
      <c r="K7" s="32">
        <f>SUM(final_electricity__161924263031[[#This Row],[ Building 1 (kWh)]]:final_electricity__161924263031[[#This Row],[Building 3 (kWh)]])</f>
        <v>0</v>
      </c>
      <c r="M7" s="29">
        <v>4</v>
      </c>
      <c r="N7" s="24">
        <f t="shared" si="2"/>
        <v>0.24080941840000006</v>
      </c>
      <c r="O7" s="24">
        <f t="shared" si="3"/>
        <v>118.456</v>
      </c>
      <c r="P7" s="24">
        <f t="shared" si="4"/>
        <v>111.221</v>
      </c>
      <c r="R7" s="29">
        <v>4</v>
      </c>
      <c r="S7" s="24">
        <f t="shared" si="5"/>
        <v>0</v>
      </c>
      <c r="T7" s="24">
        <f t="shared" si="0"/>
        <v>0</v>
      </c>
      <c r="U7" s="24">
        <f t="shared" si="1"/>
        <v>0</v>
      </c>
      <c r="W7" s="29">
        <v>4</v>
      </c>
      <c r="X7" s="24">
        <f>N7*tariffs[[#This Row],[Building 1 (buy)]]</f>
        <v>2.6248226605600007E-2</v>
      </c>
      <c r="Y7" s="24">
        <f>O7*tariffs[[#This Row],[Building 2 (buy)]]</f>
        <v>10.66104</v>
      </c>
      <c r="Z7" s="24">
        <f>P7*tariffs[[#This Row],[Building 3 (buy)]]</f>
        <v>11.878402800000002</v>
      </c>
      <c r="AB7" s="29">
        <v>4</v>
      </c>
      <c r="AC7" s="24">
        <f>H7*'Conversion Technologies'!$I$8</f>
        <v>0</v>
      </c>
      <c r="AD7" s="24">
        <f>I7*'Conversion Technologies'!$I$8</f>
        <v>0</v>
      </c>
      <c r="AE7" s="24">
        <f>J7*'Conversion Technologies'!$I$8</f>
        <v>0</v>
      </c>
      <c r="AF7" s="24">
        <f>SUM(final_electricity__16192426303132333435[[#This Row],[ Building 1 (kWh)]]:final_electricity__16192426303132333435[[#This Row],[Building 3 (kWh)]])</f>
        <v>0</v>
      </c>
      <c r="AH7" s="29">
        <v>4</v>
      </c>
      <c r="AI7" s="32">
        <f>-S7*tariffs[[#This Row],[Building 1 (sell)]]</f>
        <v>0</v>
      </c>
      <c r="AJ7" s="32">
        <f>-T7*tariffs[[#This Row],[Building 2 (sell)]]</f>
        <v>0</v>
      </c>
      <c r="AK7" s="32">
        <f>-U7*tariffs[[#This Row],[Building 3 (sell)]]</f>
        <v>0</v>
      </c>
      <c r="AM7" s="29">
        <v>4</v>
      </c>
      <c r="AN7" s="24">
        <f>N7*'Conversion Technologies'!$E$2</f>
        <v>4.8161883680000017E-2</v>
      </c>
      <c r="AO7" s="24">
        <f>O7*'Conversion Technologies'!$E$2</f>
        <v>23.691200000000002</v>
      </c>
      <c r="AP7" s="24">
        <f>P7*'Conversion Technologies'!$E$2</f>
        <v>22.244200000000003</v>
      </c>
    </row>
    <row r="8" spans="1:47" x14ac:dyDescent="0.35">
      <c r="A8" s="29">
        <v>5</v>
      </c>
      <c r="B8" s="24">
        <f>final_electricity__161924[[#This Row],[ Building 1 (kWh)]]+final_electricity__16192425[[#This Row],[Total]]</f>
        <v>0.26540972719999995</v>
      </c>
      <c r="C8" s="24">
        <f>final_electricity__161924[[#This Row],[Building 2 (kWh)]]</f>
        <v>123.203</v>
      </c>
      <c r="D8" s="24">
        <f>final_electricity__161924[[#This Row],[Building 3 (kWh)]]</f>
        <v>124.458</v>
      </c>
      <c r="E8" s="24">
        <f>SUM(final_electricity__1619242630[[#This Row],[ Building 1 (kWh)]]:final_electricity__1619242630[[#This Row],[Building 3 (kWh)]])</f>
        <v>247.9264097272</v>
      </c>
      <c r="G8" s="29">
        <v>5</v>
      </c>
      <c r="H8" s="32">
        <f>final_electricity__118[[#This Row],[Generation]]/1000*('Conversion Technologies'!$I$11/('Conversion Technologies'!$I$2/1000))</f>
        <v>0</v>
      </c>
      <c r="I8" s="32">
        <f>('Conversion Technologies'!$I$12/'Conversion Technologies'!$I$11)*H8</f>
        <v>0</v>
      </c>
      <c r="J8" s="32">
        <f>('Conversion Technologies'!$I$13/'Conversion Technologies'!$I$11)*H8</f>
        <v>0</v>
      </c>
      <c r="K8" s="32">
        <f>SUM(final_electricity__161924263031[[#This Row],[ Building 1 (kWh)]]:final_electricity__161924263031[[#This Row],[Building 3 (kWh)]])</f>
        <v>0</v>
      </c>
      <c r="M8" s="29">
        <v>5</v>
      </c>
      <c r="N8" s="24">
        <f t="shared" si="2"/>
        <v>0.26540972719999995</v>
      </c>
      <c r="O8" s="24">
        <f t="shared" si="3"/>
        <v>123.203</v>
      </c>
      <c r="P8" s="24">
        <f t="shared" si="4"/>
        <v>124.458</v>
      </c>
      <c r="R8" s="29">
        <v>5</v>
      </c>
      <c r="S8" s="24">
        <f t="shared" si="5"/>
        <v>0</v>
      </c>
      <c r="T8" s="24">
        <f t="shared" si="0"/>
        <v>0</v>
      </c>
      <c r="U8" s="24">
        <f t="shared" si="1"/>
        <v>0</v>
      </c>
      <c r="W8" s="29">
        <v>5</v>
      </c>
      <c r="X8" s="24">
        <f>N8*tariffs[[#This Row],[Building 1 (buy)]]</f>
        <v>2.8929660264799994E-2</v>
      </c>
      <c r="Y8" s="24">
        <f>O8*tariffs[[#This Row],[Building 2 (buy)]]</f>
        <v>11.08827</v>
      </c>
      <c r="Z8" s="24">
        <f>P8*tariffs[[#This Row],[Building 3 (buy)]]</f>
        <v>13.292114400000001</v>
      </c>
      <c r="AB8" s="29">
        <v>5</v>
      </c>
      <c r="AC8" s="24">
        <f>H8*'Conversion Technologies'!$I$8</f>
        <v>0</v>
      </c>
      <c r="AD8" s="24">
        <f>I8*'Conversion Technologies'!$I$8</f>
        <v>0</v>
      </c>
      <c r="AE8" s="24">
        <f>J8*'Conversion Technologies'!$I$8</f>
        <v>0</v>
      </c>
      <c r="AF8" s="24">
        <f>SUM(final_electricity__16192426303132333435[[#This Row],[ Building 1 (kWh)]]:final_electricity__16192426303132333435[[#This Row],[Building 3 (kWh)]])</f>
        <v>0</v>
      </c>
      <c r="AH8" s="29">
        <v>5</v>
      </c>
      <c r="AI8" s="32">
        <f>-S8*tariffs[[#This Row],[Building 1 (sell)]]</f>
        <v>0</v>
      </c>
      <c r="AJ8" s="32">
        <f>-T8*tariffs[[#This Row],[Building 2 (sell)]]</f>
        <v>0</v>
      </c>
      <c r="AK8" s="32">
        <f>-U8*tariffs[[#This Row],[Building 3 (sell)]]</f>
        <v>0</v>
      </c>
      <c r="AM8" s="29">
        <v>5</v>
      </c>
      <c r="AN8" s="24">
        <f>N8*'Conversion Technologies'!$E$2</f>
        <v>5.3081945439999993E-2</v>
      </c>
      <c r="AO8" s="24">
        <f>O8*'Conversion Technologies'!$E$2</f>
        <v>24.640600000000003</v>
      </c>
      <c r="AP8" s="24">
        <f>P8*'Conversion Technologies'!$E$2</f>
        <v>24.8916</v>
      </c>
    </row>
    <row r="9" spans="1:47" x14ac:dyDescent="0.35">
      <c r="A9" s="29">
        <v>6</v>
      </c>
      <c r="B9" s="24">
        <f>final_electricity__161924[[#This Row],[ Building 1 (kWh)]]+final_electricity__16192425[[#This Row],[Total]]</f>
        <v>0.26401003599999995</v>
      </c>
      <c r="C9" s="24">
        <f>final_electricity__161924[[#This Row],[Building 2 (kWh)]]</f>
        <v>128.864</v>
      </c>
      <c r="D9" s="24">
        <f>final_electricity__161924[[#This Row],[Building 3 (kWh)]]</f>
        <v>135.33600000000001</v>
      </c>
      <c r="E9" s="24">
        <f>SUM(final_electricity__1619242630[[#This Row],[ Building 1 (kWh)]]:final_electricity__1619242630[[#This Row],[Building 3 (kWh)]])</f>
        <v>264.46401003599999</v>
      </c>
      <c r="G9" s="29">
        <v>6</v>
      </c>
      <c r="H9" s="32">
        <f>final_electricity__118[[#This Row],[Generation]]/1000*('Conversion Technologies'!$I$11/('Conversion Technologies'!$I$2/1000))</f>
        <v>0</v>
      </c>
      <c r="I9" s="32">
        <f>('Conversion Technologies'!$I$12/'Conversion Technologies'!$I$11)*H9</f>
        <v>0</v>
      </c>
      <c r="J9" s="32">
        <f>('Conversion Technologies'!$I$13/'Conversion Technologies'!$I$11)*H9</f>
        <v>0</v>
      </c>
      <c r="K9" s="32">
        <f>SUM(final_electricity__161924263031[[#This Row],[ Building 1 (kWh)]]:final_electricity__161924263031[[#This Row],[Building 3 (kWh)]])</f>
        <v>0</v>
      </c>
      <c r="M9" s="29">
        <v>6</v>
      </c>
      <c r="N9" s="24">
        <f t="shared" si="2"/>
        <v>0.26401003599999995</v>
      </c>
      <c r="O9" s="24">
        <f t="shared" si="3"/>
        <v>128.864</v>
      </c>
      <c r="P9" s="24">
        <f t="shared" si="4"/>
        <v>135.33600000000001</v>
      </c>
      <c r="R9" s="29">
        <v>6</v>
      </c>
      <c r="S9" s="24">
        <f t="shared" si="5"/>
        <v>0</v>
      </c>
      <c r="T9" s="24">
        <f t="shared" si="0"/>
        <v>0</v>
      </c>
      <c r="U9" s="24">
        <f t="shared" si="1"/>
        <v>0</v>
      </c>
      <c r="W9" s="29">
        <v>6</v>
      </c>
      <c r="X9" s="24">
        <f>N9*tariffs[[#This Row],[Building 1 (buy)]]</f>
        <v>2.8777093923999995E-2</v>
      </c>
      <c r="Y9" s="24">
        <f>O9*tariffs[[#This Row],[Building 2 (buy)]]</f>
        <v>14.7807008</v>
      </c>
      <c r="Z9" s="24">
        <f>P9*tariffs[[#This Row],[Building 3 (buy)]]</f>
        <v>17.756083200000003</v>
      </c>
      <c r="AB9" s="29">
        <v>6</v>
      </c>
      <c r="AC9" s="24">
        <f>H9*'Conversion Technologies'!$I$8</f>
        <v>0</v>
      </c>
      <c r="AD9" s="24">
        <f>I9*'Conversion Technologies'!$I$8</f>
        <v>0</v>
      </c>
      <c r="AE9" s="24">
        <f>J9*'Conversion Technologies'!$I$8</f>
        <v>0</v>
      </c>
      <c r="AF9" s="24">
        <f>SUM(final_electricity__16192426303132333435[[#This Row],[ Building 1 (kWh)]]:final_electricity__16192426303132333435[[#This Row],[Building 3 (kWh)]])</f>
        <v>0</v>
      </c>
      <c r="AH9" s="29">
        <v>6</v>
      </c>
      <c r="AI9" s="32">
        <f>-S9*tariffs[[#This Row],[Building 1 (sell)]]</f>
        <v>0</v>
      </c>
      <c r="AJ9" s="32">
        <f>-T9*tariffs[[#This Row],[Building 2 (sell)]]</f>
        <v>0</v>
      </c>
      <c r="AK9" s="32">
        <f>-U9*tariffs[[#This Row],[Building 3 (sell)]]</f>
        <v>0</v>
      </c>
      <c r="AM9" s="29">
        <v>6</v>
      </c>
      <c r="AN9" s="24">
        <f>N9*'Conversion Technologies'!$E$2</f>
        <v>5.2802007199999994E-2</v>
      </c>
      <c r="AO9" s="24">
        <f>O9*'Conversion Technologies'!$E$2</f>
        <v>25.772800000000004</v>
      </c>
      <c r="AP9" s="24">
        <f>P9*'Conversion Technologies'!$E$2</f>
        <v>27.067200000000003</v>
      </c>
    </row>
    <row r="10" spans="1:47" x14ac:dyDescent="0.35">
      <c r="A10" s="29">
        <v>7</v>
      </c>
      <c r="B10" s="24">
        <f>final_electricity__161924[[#This Row],[ Building 1 (kWh)]]+final_electricity__16192425[[#This Row],[Total]]</f>
        <v>0.53633536409999993</v>
      </c>
      <c r="C10" s="24">
        <f>final_electricity__161924[[#This Row],[Building 2 (kWh)]]</f>
        <v>156.93</v>
      </c>
      <c r="D10" s="24">
        <f>final_electricity__161924[[#This Row],[Building 3 (kWh)]]</f>
        <v>205.28700000000001</v>
      </c>
      <c r="E10" s="24">
        <f>SUM(final_electricity__1619242630[[#This Row],[ Building 1 (kWh)]]:final_electricity__1619242630[[#This Row],[Building 3 (kWh)]])</f>
        <v>362.75333536410005</v>
      </c>
      <c r="G10" s="29">
        <v>7</v>
      </c>
      <c r="H10" s="32">
        <f>final_electricity__118[[#This Row],[Generation]]/1000*('Conversion Technologies'!$I$11/('Conversion Technologies'!$I$2/1000))</f>
        <v>0</v>
      </c>
      <c r="I10" s="32">
        <f>('Conversion Technologies'!$I$12/'Conversion Technologies'!$I$11)*H10</f>
        <v>0</v>
      </c>
      <c r="J10" s="32">
        <f>('Conversion Technologies'!$I$13/'Conversion Technologies'!$I$11)*H10</f>
        <v>0</v>
      </c>
      <c r="K10" s="32">
        <f>SUM(final_electricity__161924263031[[#This Row],[ Building 1 (kWh)]]:final_electricity__161924263031[[#This Row],[Building 3 (kWh)]])</f>
        <v>0</v>
      </c>
      <c r="M10" s="29">
        <v>7</v>
      </c>
      <c r="N10" s="24">
        <f t="shared" si="2"/>
        <v>0.53633536409999993</v>
      </c>
      <c r="O10" s="24">
        <f t="shared" si="3"/>
        <v>156.93</v>
      </c>
      <c r="P10" s="24">
        <f t="shared" si="4"/>
        <v>205.28700000000001</v>
      </c>
      <c r="R10" s="29">
        <v>7</v>
      </c>
      <c r="S10" s="24">
        <f t="shared" si="5"/>
        <v>0</v>
      </c>
      <c r="T10" s="24">
        <f t="shared" si="0"/>
        <v>0</v>
      </c>
      <c r="U10" s="24">
        <f t="shared" si="1"/>
        <v>0</v>
      </c>
      <c r="W10" s="29">
        <v>7</v>
      </c>
      <c r="X10" s="24">
        <f>N10*tariffs[[#This Row],[Building 1 (buy)]]</f>
        <v>0.10490719721795999</v>
      </c>
      <c r="Y10" s="24">
        <f>O10*tariffs[[#This Row],[Building 2 (buy)]]</f>
        <v>24.622317000000002</v>
      </c>
      <c r="Z10" s="24">
        <f>P10*tariffs[[#This Row],[Building 3 (buy)]]</f>
        <v>34.365043800000002</v>
      </c>
      <c r="AB10" s="29">
        <v>7</v>
      </c>
      <c r="AC10" s="24">
        <f>H10*'Conversion Technologies'!$I$8</f>
        <v>0</v>
      </c>
      <c r="AD10" s="24">
        <f>I10*'Conversion Technologies'!$I$8</f>
        <v>0</v>
      </c>
      <c r="AE10" s="24">
        <f>J10*'Conversion Technologies'!$I$8</f>
        <v>0</v>
      </c>
      <c r="AF10" s="24">
        <f>SUM(final_electricity__16192426303132333435[[#This Row],[ Building 1 (kWh)]]:final_electricity__16192426303132333435[[#This Row],[Building 3 (kWh)]])</f>
        <v>0</v>
      </c>
      <c r="AH10" s="29">
        <v>7</v>
      </c>
      <c r="AI10" s="32">
        <f>-S10*tariffs[[#This Row],[Building 1 (sell)]]</f>
        <v>0</v>
      </c>
      <c r="AJ10" s="32">
        <f>-T10*tariffs[[#This Row],[Building 2 (sell)]]</f>
        <v>0</v>
      </c>
      <c r="AK10" s="32">
        <f>-U10*tariffs[[#This Row],[Building 3 (sell)]]</f>
        <v>0</v>
      </c>
      <c r="AM10" s="29">
        <v>7</v>
      </c>
      <c r="AN10" s="24">
        <f>N10*'Conversion Technologies'!$E$2</f>
        <v>0.10726707281999999</v>
      </c>
      <c r="AO10" s="24">
        <f>O10*'Conversion Technologies'!$E$2</f>
        <v>31.386000000000003</v>
      </c>
      <c r="AP10" s="24">
        <f>P10*'Conversion Technologies'!$E$2</f>
        <v>41.057400000000001</v>
      </c>
    </row>
    <row r="11" spans="1:47" x14ac:dyDescent="0.35">
      <c r="A11" s="29">
        <v>8</v>
      </c>
      <c r="B11" s="24">
        <f>final_electricity__161924[[#This Row],[ Building 1 (kWh)]]+final_electricity__16192425[[#This Row],[Total]]</f>
        <v>1.1153586078000002</v>
      </c>
      <c r="C11" s="24">
        <f>final_electricity__161924[[#This Row],[Building 2 (kWh)]]</f>
        <v>213.28899999999999</v>
      </c>
      <c r="D11" s="24">
        <f>final_electricity__161924[[#This Row],[Building 3 (kWh)]]</f>
        <v>276.12</v>
      </c>
      <c r="E11" s="24">
        <f>SUM(final_electricity__1619242630[[#This Row],[ Building 1 (kWh)]]:final_electricity__1619242630[[#This Row],[Building 3 (kWh)]])</f>
        <v>490.52435860779997</v>
      </c>
      <c r="G11" s="29">
        <v>8</v>
      </c>
      <c r="H11" s="32">
        <f>final_electricity__118[[#This Row],[Generation]]/1000*('Conversion Technologies'!$I$11/('Conversion Technologies'!$I$2/1000))</f>
        <v>0</v>
      </c>
      <c r="I11" s="32">
        <f>('Conversion Technologies'!$I$12/'Conversion Technologies'!$I$11)*H11</f>
        <v>0</v>
      </c>
      <c r="J11" s="32">
        <f>('Conversion Technologies'!$I$13/'Conversion Technologies'!$I$11)*H11</f>
        <v>0</v>
      </c>
      <c r="K11" s="32">
        <f>SUM(final_electricity__161924263031[[#This Row],[ Building 1 (kWh)]]:final_electricity__161924263031[[#This Row],[Building 3 (kWh)]])</f>
        <v>0</v>
      </c>
      <c r="M11" s="29">
        <v>8</v>
      </c>
      <c r="N11" s="24">
        <f t="shared" si="2"/>
        <v>1.1153586078000002</v>
      </c>
      <c r="O11" s="24">
        <f t="shared" si="3"/>
        <v>213.28899999999999</v>
      </c>
      <c r="P11" s="24">
        <f t="shared" si="4"/>
        <v>276.12</v>
      </c>
      <c r="R11" s="29">
        <v>8</v>
      </c>
      <c r="S11" s="24">
        <f t="shared" si="5"/>
        <v>0</v>
      </c>
      <c r="T11" s="24">
        <f t="shared" si="0"/>
        <v>0</v>
      </c>
      <c r="U11" s="24">
        <f t="shared" si="1"/>
        <v>0</v>
      </c>
      <c r="W11" s="29">
        <v>8</v>
      </c>
      <c r="X11" s="24">
        <f>N11*tariffs[[#This Row],[Building 1 (buy)]]</f>
        <v>0.21816414368568002</v>
      </c>
      <c r="Y11" s="24">
        <f>O11*tariffs[[#This Row],[Building 2 (buy)]]</f>
        <v>33.4650441</v>
      </c>
      <c r="Z11" s="24">
        <f>P11*tariffs[[#This Row],[Building 3 (buy)]]</f>
        <v>46.222487999999998</v>
      </c>
      <c r="AB11" s="29">
        <v>8</v>
      </c>
      <c r="AC11" s="24">
        <f>H11*'Conversion Technologies'!$I$8</f>
        <v>0</v>
      </c>
      <c r="AD11" s="24">
        <f>I11*'Conversion Technologies'!$I$8</f>
        <v>0</v>
      </c>
      <c r="AE11" s="24">
        <f>J11*'Conversion Technologies'!$I$8</f>
        <v>0</v>
      </c>
      <c r="AF11" s="24">
        <f>SUM(final_electricity__16192426303132333435[[#This Row],[ Building 1 (kWh)]]:final_electricity__16192426303132333435[[#This Row],[Building 3 (kWh)]])</f>
        <v>0</v>
      </c>
      <c r="AH11" s="29">
        <v>8</v>
      </c>
      <c r="AI11" s="32">
        <f>-S11*tariffs[[#This Row],[Building 1 (sell)]]</f>
        <v>0</v>
      </c>
      <c r="AJ11" s="32">
        <f>-T11*tariffs[[#This Row],[Building 2 (sell)]]</f>
        <v>0</v>
      </c>
      <c r="AK11" s="32">
        <f>-U11*tariffs[[#This Row],[Building 3 (sell)]]</f>
        <v>0</v>
      </c>
      <c r="AM11" s="29">
        <v>8</v>
      </c>
      <c r="AN11" s="24">
        <f>N11*'Conversion Technologies'!$E$2</f>
        <v>0.22307172156000005</v>
      </c>
      <c r="AO11" s="24">
        <f>O11*'Conversion Technologies'!$E$2</f>
        <v>42.657800000000002</v>
      </c>
      <c r="AP11" s="24">
        <f>P11*'Conversion Technologies'!$E$2</f>
        <v>55.224000000000004</v>
      </c>
    </row>
    <row r="12" spans="1:47" x14ac:dyDescent="0.35">
      <c r="A12" s="29">
        <v>9</v>
      </c>
      <c r="B12" s="24">
        <f>final_electricity__161924[[#This Row],[ Building 1 (kWh)]]+final_electricity__16192425[[#This Row],[Total]]</f>
        <v>0.17599999999999999</v>
      </c>
      <c r="C12" s="24">
        <f>final_electricity__161924[[#This Row],[Building 2 (kWh)]]</f>
        <v>264.62</v>
      </c>
      <c r="D12" s="24">
        <f>final_electricity__161924[[#This Row],[Building 3 (kWh)]]</f>
        <v>327.05939999999998</v>
      </c>
      <c r="E12" s="24">
        <f>SUM(final_electricity__1619242630[[#This Row],[ Building 1 (kWh)]]:final_electricity__1619242630[[#This Row],[Building 3 (kWh)]])</f>
        <v>591.85539999999992</v>
      </c>
      <c r="G12" s="29">
        <v>9</v>
      </c>
      <c r="H12" s="32">
        <f>final_electricity__118[[#This Row],[Generation]]/1000*('Conversion Technologies'!$I$11/('Conversion Technologies'!$I$2/1000))</f>
        <v>5.5320000000000008E-2</v>
      </c>
      <c r="I12" s="32">
        <f>('Conversion Technologies'!$I$12/'Conversion Technologies'!$I$11)*H12</f>
        <v>0.55320000000000014</v>
      </c>
      <c r="J12" s="32">
        <f>('Conversion Technologies'!$I$13/'Conversion Technologies'!$I$11)*H12</f>
        <v>1.1064000000000003</v>
      </c>
      <c r="K12" s="32">
        <f>SUM(final_electricity__161924263031[[#This Row],[ Building 1 (kWh)]]:final_electricity__161924263031[[#This Row],[Building 3 (kWh)]])</f>
        <v>1.7149200000000004</v>
      </c>
      <c r="M12" s="29">
        <v>9</v>
      </c>
      <c r="N12" s="24">
        <f t="shared" si="2"/>
        <v>0.12067999999999998</v>
      </c>
      <c r="O12" s="24">
        <f t="shared" si="3"/>
        <v>264.0668</v>
      </c>
      <c r="P12" s="24">
        <f t="shared" si="4"/>
        <v>325.95299999999997</v>
      </c>
      <c r="R12" s="29">
        <v>9</v>
      </c>
      <c r="S12" s="24">
        <f t="shared" si="5"/>
        <v>0</v>
      </c>
      <c r="T12" s="24">
        <f t="shared" si="0"/>
        <v>0</v>
      </c>
      <c r="U12" s="24">
        <f t="shared" si="1"/>
        <v>0</v>
      </c>
      <c r="W12" s="29">
        <v>9</v>
      </c>
      <c r="X12" s="24">
        <f>N12*tariffs[[#This Row],[Building 1 (buy)]]</f>
        <v>2.3605007999999997E-2</v>
      </c>
      <c r="Y12" s="24">
        <f>O12*tariffs[[#This Row],[Building 2 (buy)]]</f>
        <v>46.370130080000003</v>
      </c>
      <c r="Z12" s="24">
        <f>P12*tariffs[[#This Row],[Building 3 (buy)]]</f>
        <v>57.204751499999993</v>
      </c>
      <c r="AB12" s="29">
        <v>9</v>
      </c>
      <c r="AC12" s="24">
        <f>H12*'Conversion Technologies'!$I$8</f>
        <v>1.8304411764705885E-3</v>
      </c>
      <c r="AD12" s="24">
        <f>I12*'Conversion Technologies'!$I$8</f>
        <v>1.8304411764705888E-2</v>
      </c>
      <c r="AE12" s="24">
        <f>J12*'Conversion Technologies'!$I$8</f>
        <v>3.6608823529411777E-2</v>
      </c>
      <c r="AF12" s="24">
        <f>SUM(final_electricity__16192426303132333435[[#This Row],[ Building 1 (kWh)]]:final_electricity__16192426303132333435[[#This Row],[Building 3 (kWh)]])</f>
        <v>5.6743676470588256E-2</v>
      </c>
      <c r="AH12" s="29">
        <v>9</v>
      </c>
      <c r="AI12" s="32">
        <f>-S12*tariffs[[#This Row],[Building 1 (sell)]]</f>
        <v>0</v>
      </c>
      <c r="AJ12" s="32">
        <f>-T12*tariffs[[#This Row],[Building 2 (sell)]]</f>
        <v>0</v>
      </c>
      <c r="AK12" s="32">
        <f>-U12*tariffs[[#This Row],[Building 3 (sell)]]</f>
        <v>0</v>
      </c>
      <c r="AM12" s="29">
        <v>9</v>
      </c>
      <c r="AN12" s="24">
        <f>N12*'Conversion Technologies'!$E$2</f>
        <v>2.4135999999999998E-2</v>
      </c>
      <c r="AO12" s="24">
        <f>O12*'Conversion Technologies'!$E$2</f>
        <v>52.813360000000003</v>
      </c>
      <c r="AP12" s="24">
        <f>P12*'Conversion Technologies'!$E$2</f>
        <v>65.190600000000003</v>
      </c>
    </row>
    <row r="13" spans="1:47" x14ac:dyDescent="0.35">
      <c r="A13" s="29">
        <v>10</v>
      </c>
      <c r="B13" s="24">
        <f>final_electricity__161924[[#This Row],[ Building 1 (kWh)]]+final_electricity__16192425[[#This Row],[Total]]</f>
        <v>0.318</v>
      </c>
      <c r="C13" s="24">
        <f>final_electricity__161924[[#This Row],[Building 2 (kWh)]]</f>
        <v>278.54599999999999</v>
      </c>
      <c r="D13" s="24">
        <f>final_electricity__161924[[#This Row],[Building 3 (kWh)]]</f>
        <v>357.839</v>
      </c>
      <c r="E13" s="24">
        <f>SUM(final_electricity__1619242630[[#This Row],[ Building 1 (kWh)]]:final_electricity__1619242630[[#This Row],[Building 3 (kWh)]])</f>
        <v>636.70299999999997</v>
      </c>
      <c r="G13" s="29">
        <v>10</v>
      </c>
      <c r="H13" s="32">
        <f>final_electricity__118[[#This Row],[Generation]]/1000*('Conversion Technologies'!$I$11/('Conversion Technologies'!$I$2/1000))</f>
        <v>0.10952000000000001</v>
      </c>
      <c r="I13" s="32">
        <f>('Conversion Technologies'!$I$12/'Conversion Technologies'!$I$11)*H13</f>
        <v>1.0952000000000002</v>
      </c>
      <c r="J13" s="32">
        <f>('Conversion Technologies'!$I$13/'Conversion Technologies'!$I$11)*H13</f>
        <v>2.1904000000000003</v>
      </c>
      <c r="K13" s="32">
        <f>SUM(final_electricity__161924263031[[#This Row],[ Building 1 (kWh)]]:final_electricity__161924263031[[#This Row],[Building 3 (kWh)]])</f>
        <v>3.3951200000000004</v>
      </c>
      <c r="M13" s="29">
        <v>10</v>
      </c>
      <c r="N13" s="24">
        <f t="shared" si="2"/>
        <v>0.20848</v>
      </c>
      <c r="O13" s="24">
        <f t="shared" si="3"/>
        <v>277.45080000000002</v>
      </c>
      <c r="P13" s="24">
        <f t="shared" si="4"/>
        <v>355.64859999999999</v>
      </c>
      <c r="R13" s="29">
        <v>10</v>
      </c>
      <c r="S13" s="24">
        <f t="shared" si="5"/>
        <v>0</v>
      </c>
      <c r="T13" s="24">
        <f t="shared" si="0"/>
        <v>0</v>
      </c>
      <c r="U13" s="24">
        <f t="shared" si="1"/>
        <v>0</v>
      </c>
      <c r="W13" s="29">
        <v>10</v>
      </c>
      <c r="X13" s="24">
        <f>N13*tariffs[[#This Row],[Building 1 (buy)]]</f>
        <v>4.0778688E-2</v>
      </c>
      <c r="Y13" s="24">
        <f>O13*tariffs[[#This Row],[Building 2 (buy)]]</f>
        <v>48.720360480000004</v>
      </c>
      <c r="Z13" s="24">
        <f>P13*tariffs[[#This Row],[Building 3 (buy)]]</f>
        <v>62.416329299999994</v>
      </c>
      <c r="AB13" s="29">
        <v>10</v>
      </c>
      <c r="AC13" s="24">
        <f>H13*'Conversion Technologies'!$I$8</f>
        <v>3.6238235294117648E-3</v>
      </c>
      <c r="AD13" s="24">
        <f>I13*'Conversion Technologies'!$I$8</f>
        <v>3.6238235294117654E-2</v>
      </c>
      <c r="AE13" s="24">
        <f>J13*'Conversion Technologies'!$I$8</f>
        <v>7.2476470588235309E-2</v>
      </c>
      <c r="AF13" s="24">
        <f>SUM(final_electricity__16192426303132333435[[#This Row],[ Building 1 (kWh)]]:final_electricity__16192426303132333435[[#This Row],[Building 3 (kWh)]])</f>
        <v>0.11233852941176473</v>
      </c>
      <c r="AH13" s="29">
        <v>10</v>
      </c>
      <c r="AI13" s="32">
        <f>-S13*tariffs[[#This Row],[Building 1 (sell)]]</f>
        <v>0</v>
      </c>
      <c r="AJ13" s="32">
        <f>-T13*tariffs[[#This Row],[Building 2 (sell)]]</f>
        <v>0</v>
      </c>
      <c r="AK13" s="32">
        <f>-U13*tariffs[[#This Row],[Building 3 (sell)]]</f>
        <v>0</v>
      </c>
      <c r="AM13" s="29">
        <v>10</v>
      </c>
      <c r="AN13" s="24">
        <f>N13*'Conversion Technologies'!$E$2</f>
        <v>4.1696000000000004E-2</v>
      </c>
      <c r="AO13" s="24">
        <f>O13*'Conversion Technologies'!$E$2</f>
        <v>55.490160000000003</v>
      </c>
      <c r="AP13" s="24">
        <f>P13*'Conversion Technologies'!$E$2</f>
        <v>71.129720000000006</v>
      </c>
    </row>
    <row r="14" spans="1:47" x14ac:dyDescent="0.35">
      <c r="A14" s="29">
        <v>11</v>
      </c>
      <c r="B14" s="24">
        <f>final_electricity__161924[[#This Row],[ Building 1 (kWh)]]+final_electricity__16192425[[#This Row],[Total]]</f>
        <v>0.122</v>
      </c>
      <c r="C14" s="24">
        <f>final_electricity__161924[[#This Row],[Building 2 (kWh)]]</f>
        <v>290.54700000000003</v>
      </c>
      <c r="D14" s="24">
        <f>final_electricity__161924[[#This Row],[Building 3 (kWh)]]</f>
        <v>393.238</v>
      </c>
      <c r="E14" s="24">
        <f>SUM(final_electricity__1619242630[[#This Row],[ Building 1 (kWh)]]:final_electricity__1619242630[[#This Row],[Building 3 (kWh)]])</f>
        <v>683.90700000000004</v>
      </c>
      <c r="G14" s="29">
        <v>11</v>
      </c>
      <c r="H14" s="32">
        <f>final_electricity__118[[#This Row],[Generation]]/1000*('Conversion Technologies'!$I$11/('Conversion Technologies'!$I$2/1000))</f>
        <v>0.12110000000000001</v>
      </c>
      <c r="I14" s="32">
        <f>('Conversion Technologies'!$I$12/'Conversion Technologies'!$I$11)*H14</f>
        <v>1.2110000000000001</v>
      </c>
      <c r="J14" s="32">
        <f>('Conversion Technologies'!$I$13/'Conversion Technologies'!$I$11)*H14</f>
        <v>2.4220000000000002</v>
      </c>
      <c r="K14" s="32">
        <f>SUM(final_electricity__161924263031[[#This Row],[ Building 1 (kWh)]]:final_electricity__161924263031[[#This Row],[Building 3 (kWh)]])</f>
        <v>3.7541000000000002</v>
      </c>
      <c r="M14" s="29">
        <v>11</v>
      </c>
      <c r="N14" s="24">
        <f t="shared" si="2"/>
        <v>8.9999999999998415E-4</v>
      </c>
      <c r="O14" s="24">
        <f t="shared" si="3"/>
        <v>289.33600000000001</v>
      </c>
      <c r="P14" s="24">
        <f t="shared" si="4"/>
        <v>390.81599999999997</v>
      </c>
      <c r="R14" s="29">
        <v>11</v>
      </c>
      <c r="S14" s="24">
        <f t="shared" si="5"/>
        <v>0</v>
      </c>
      <c r="T14" s="24">
        <f t="shared" si="0"/>
        <v>0</v>
      </c>
      <c r="U14" s="24">
        <f t="shared" si="1"/>
        <v>0</v>
      </c>
      <c r="W14" s="29">
        <v>11</v>
      </c>
      <c r="X14" s="24">
        <f>N14*tariffs[[#This Row],[Building 1 (buy)]]</f>
        <v>1.7603999999999688E-4</v>
      </c>
      <c r="Y14" s="24">
        <f>O14*tariffs[[#This Row],[Building 2 (buy)]]</f>
        <v>50.807401600000006</v>
      </c>
      <c r="Z14" s="24">
        <f>P14*tariffs[[#This Row],[Building 3 (buy)]]</f>
        <v>68.588207999999995</v>
      </c>
      <c r="AB14" s="29">
        <v>11</v>
      </c>
      <c r="AC14" s="24">
        <f>H14*'Conversion Technologies'!$I$8</f>
        <v>4.0069852941176471E-3</v>
      </c>
      <c r="AD14" s="24">
        <f>I14*'Conversion Technologies'!$I$8</f>
        <v>4.0069852941176473E-2</v>
      </c>
      <c r="AE14" s="24">
        <f>J14*'Conversion Technologies'!$I$8</f>
        <v>8.0139705882352946E-2</v>
      </c>
      <c r="AF14" s="24">
        <f>SUM(final_electricity__16192426303132333435[[#This Row],[ Building 1 (kWh)]]:final_electricity__16192426303132333435[[#This Row],[Building 3 (kWh)]])</f>
        <v>0.12421654411764707</v>
      </c>
      <c r="AH14" s="29">
        <v>11</v>
      </c>
      <c r="AI14" s="32">
        <f>-S14*tariffs[[#This Row],[Building 1 (sell)]]</f>
        <v>0</v>
      </c>
      <c r="AJ14" s="32">
        <f>-T14*tariffs[[#This Row],[Building 2 (sell)]]</f>
        <v>0</v>
      </c>
      <c r="AK14" s="32">
        <f>-U14*tariffs[[#This Row],[Building 3 (sell)]]</f>
        <v>0</v>
      </c>
      <c r="AM14" s="29">
        <v>11</v>
      </c>
      <c r="AN14" s="24">
        <f>N14*'Conversion Technologies'!$E$2</f>
        <v>1.7999999999999684E-4</v>
      </c>
      <c r="AO14" s="24">
        <f>O14*'Conversion Technologies'!$E$2</f>
        <v>57.867200000000004</v>
      </c>
      <c r="AP14" s="24">
        <f>P14*'Conversion Technologies'!$E$2</f>
        <v>78.163200000000003</v>
      </c>
    </row>
    <row r="15" spans="1:47" x14ac:dyDescent="0.35">
      <c r="A15" s="29">
        <v>12</v>
      </c>
      <c r="B15" s="24">
        <f>final_electricity__161924[[#This Row],[ Building 1 (kWh)]]+final_electricity__16192425[[#This Row],[Total]]</f>
        <v>0.10100000000000001</v>
      </c>
      <c r="C15" s="24">
        <f>final_electricity__161924[[#This Row],[Building 2 (kWh)]]</f>
        <v>278.565</v>
      </c>
      <c r="D15" s="24">
        <f>final_electricity__161924[[#This Row],[Building 3 (kWh)]]</f>
        <v>400.87400000000002</v>
      </c>
      <c r="E15" s="24">
        <f>SUM(final_electricity__1619242630[[#This Row],[ Building 1 (kWh)]]:final_electricity__1619242630[[#This Row],[Building 3 (kWh)]])</f>
        <v>679.54</v>
      </c>
      <c r="G15" s="29">
        <v>12</v>
      </c>
      <c r="H15" s="32">
        <f>final_electricity__118[[#This Row],[Generation]]/1000*('Conversion Technologies'!$I$11/('Conversion Technologies'!$I$2/1000))</f>
        <v>0.18812000000000001</v>
      </c>
      <c r="I15" s="32">
        <f>('Conversion Technologies'!$I$12/'Conversion Technologies'!$I$11)*H15</f>
        <v>1.8812000000000002</v>
      </c>
      <c r="J15" s="32">
        <f>('Conversion Technologies'!$I$13/'Conversion Technologies'!$I$11)*H15</f>
        <v>3.7624000000000004</v>
      </c>
      <c r="K15" s="32">
        <f>SUM(final_electricity__161924263031[[#This Row],[ Building 1 (kWh)]]:final_electricity__161924263031[[#This Row],[Building 3 (kWh)]])</f>
        <v>5.8317200000000007</v>
      </c>
      <c r="M15" s="29">
        <v>12</v>
      </c>
      <c r="N15" s="24">
        <f t="shared" si="2"/>
        <v>0</v>
      </c>
      <c r="O15" s="24">
        <f t="shared" si="3"/>
        <v>276.68380000000002</v>
      </c>
      <c r="P15" s="24">
        <f t="shared" si="4"/>
        <v>397.11160000000001</v>
      </c>
      <c r="R15" s="29">
        <v>12</v>
      </c>
      <c r="S15" s="24">
        <f t="shared" si="5"/>
        <v>-8.7120000000000003E-2</v>
      </c>
      <c r="T15" s="24">
        <f t="shared" si="0"/>
        <v>0</v>
      </c>
      <c r="U15" s="24">
        <f t="shared" si="1"/>
        <v>0</v>
      </c>
      <c r="W15" s="29">
        <v>12</v>
      </c>
      <c r="X15" s="24">
        <f>N15*tariffs[[#This Row],[Building 1 (buy)]]</f>
        <v>0</v>
      </c>
      <c r="Y15" s="24">
        <f>O15*tariffs[[#This Row],[Building 2 (buy)]]</f>
        <v>43.411688220000009</v>
      </c>
      <c r="Z15" s="24">
        <f>P15*tariffs[[#This Row],[Building 3 (buy)]]</f>
        <v>66.476481840000005</v>
      </c>
      <c r="AB15" s="29">
        <v>12</v>
      </c>
      <c r="AC15" s="24">
        <f>H15*'Conversion Technologies'!$I$8</f>
        <v>6.224558823529412E-3</v>
      </c>
      <c r="AD15" s="24">
        <f>I15*'Conversion Technologies'!$I$8</f>
        <v>6.2245588235294122E-2</v>
      </c>
      <c r="AE15" s="24">
        <f>J15*'Conversion Technologies'!$I$8</f>
        <v>0.12449117647058824</v>
      </c>
      <c r="AF15" s="24">
        <f>SUM(final_electricity__16192426303132333435[[#This Row],[ Building 1 (kWh)]]:final_electricity__16192426303132333435[[#This Row],[Building 3 (kWh)]])</f>
        <v>0.19296132352941178</v>
      </c>
      <c r="AH15" s="29">
        <v>12</v>
      </c>
      <c r="AI15" s="32">
        <f>-S15*tariffs[[#This Row],[Building 1 (sell)]]</f>
        <v>5.7499200000000004E-3</v>
      </c>
      <c r="AJ15" s="32">
        <f>-T15*tariffs[[#This Row],[Building 2 (sell)]]</f>
        <v>0</v>
      </c>
      <c r="AK15" s="32">
        <f>-U15*tariffs[[#This Row],[Building 3 (sell)]]</f>
        <v>0</v>
      </c>
      <c r="AM15" s="29">
        <v>12</v>
      </c>
      <c r="AN15" s="24">
        <f>N15*'Conversion Technologies'!$E$2</f>
        <v>0</v>
      </c>
      <c r="AO15" s="24">
        <f>O15*'Conversion Technologies'!$E$2</f>
        <v>55.336760000000005</v>
      </c>
      <c r="AP15" s="24">
        <f>P15*'Conversion Technologies'!$E$2</f>
        <v>79.422320000000013</v>
      </c>
    </row>
    <row r="16" spans="1:47" x14ac:dyDescent="0.35">
      <c r="A16" s="29">
        <v>13</v>
      </c>
      <c r="B16" s="24">
        <f>final_electricity__161924[[#This Row],[ Building 1 (kWh)]]+final_electricity__16192425[[#This Row],[Total]]</f>
        <v>0.106</v>
      </c>
      <c r="C16" s="24">
        <f>final_electricity__161924[[#This Row],[Building 2 (kWh)]]</f>
        <v>298.416</v>
      </c>
      <c r="D16" s="24">
        <f>final_electricity__161924[[#This Row],[Building 3 (kWh)]]</f>
        <v>372.48899999999998</v>
      </c>
      <c r="E16" s="24">
        <f>SUM(final_electricity__1619242630[[#This Row],[ Building 1 (kWh)]]:final_electricity__1619242630[[#This Row],[Building 3 (kWh)]])</f>
        <v>671.01099999999997</v>
      </c>
      <c r="G16" s="29">
        <v>13</v>
      </c>
      <c r="H16" s="32">
        <f>final_electricity__118[[#This Row],[Generation]]/1000*('Conversion Technologies'!$I$11/('Conversion Technologies'!$I$2/1000))</f>
        <v>0.23673</v>
      </c>
      <c r="I16" s="32">
        <f>('Conversion Technologies'!$I$12/'Conversion Technologies'!$I$11)*H16</f>
        <v>2.3673000000000002</v>
      </c>
      <c r="J16" s="32">
        <f>('Conversion Technologies'!$I$13/'Conversion Technologies'!$I$11)*H16</f>
        <v>4.7346000000000004</v>
      </c>
      <c r="K16" s="32">
        <f>SUM(final_electricity__161924263031[[#This Row],[ Building 1 (kWh)]]:final_electricity__161924263031[[#This Row],[Building 3 (kWh)]])</f>
        <v>7.3386300000000002</v>
      </c>
      <c r="M16" s="29">
        <v>13</v>
      </c>
      <c r="N16" s="24">
        <f t="shared" si="2"/>
        <v>0</v>
      </c>
      <c r="O16" s="24">
        <f t="shared" si="3"/>
        <v>296.0487</v>
      </c>
      <c r="P16" s="24">
        <f t="shared" si="4"/>
        <v>367.75439999999998</v>
      </c>
      <c r="R16" s="29">
        <v>13</v>
      </c>
      <c r="S16" s="24">
        <f t="shared" si="5"/>
        <v>-0.13073000000000001</v>
      </c>
      <c r="T16" s="24">
        <f t="shared" si="0"/>
        <v>0</v>
      </c>
      <c r="U16" s="24">
        <f t="shared" si="1"/>
        <v>0</v>
      </c>
      <c r="W16" s="29">
        <v>13</v>
      </c>
      <c r="X16" s="24">
        <f>N16*tariffs[[#This Row],[Building 1 (buy)]]</f>
        <v>0</v>
      </c>
      <c r="Y16" s="24">
        <f>O16*tariffs[[#This Row],[Building 2 (buy)]]</f>
        <v>46.450041030000001</v>
      </c>
      <c r="Z16" s="24">
        <f>P16*tariffs[[#This Row],[Building 3 (buy)]]</f>
        <v>61.56208655999999</v>
      </c>
      <c r="AB16" s="29">
        <v>13</v>
      </c>
      <c r="AC16" s="24">
        <f>H16*'Conversion Technologies'!$I$8</f>
        <v>7.8329779411764697E-3</v>
      </c>
      <c r="AD16" s="24">
        <f>I16*'Conversion Technologies'!$I$8</f>
        <v>7.8329779411764708E-2</v>
      </c>
      <c r="AE16" s="24">
        <f>J16*'Conversion Technologies'!$I$8</f>
        <v>0.15665955882352942</v>
      </c>
      <c r="AF16" s="24">
        <f>SUM(final_electricity__16192426303132333435[[#This Row],[ Building 1 (kWh)]]:final_electricity__16192426303132333435[[#This Row],[Building 3 (kWh)]])</f>
        <v>0.2428223161764706</v>
      </c>
      <c r="AH16" s="29">
        <v>13</v>
      </c>
      <c r="AI16" s="32">
        <f>-S16*tariffs[[#This Row],[Building 1 (sell)]]</f>
        <v>8.6281800000000009E-3</v>
      </c>
      <c r="AJ16" s="32">
        <f>-T16*tariffs[[#This Row],[Building 2 (sell)]]</f>
        <v>0</v>
      </c>
      <c r="AK16" s="32">
        <f>-U16*tariffs[[#This Row],[Building 3 (sell)]]</f>
        <v>0</v>
      </c>
      <c r="AM16" s="29">
        <v>13</v>
      </c>
      <c r="AN16" s="24">
        <f>N16*'Conversion Technologies'!$E$2</f>
        <v>0</v>
      </c>
      <c r="AO16" s="24">
        <f>O16*'Conversion Technologies'!$E$2</f>
        <v>59.209740000000004</v>
      </c>
      <c r="AP16" s="24">
        <f>P16*'Conversion Technologies'!$E$2</f>
        <v>73.550879999999992</v>
      </c>
    </row>
    <row r="17" spans="1:42" x14ac:dyDescent="0.35">
      <c r="A17" s="29">
        <v>14</v>
      </c>
      <c r="B17" s="24">
        <f>final_electricity__161924[[#This Row],[ Building 1 (kWh)]]+final_electricity__16192425[[#This Row],[Total]]</f>
        <v>0.17499999999999999</v>
      </c>
      <c r="C17" s="24">
        <f>final_electricity__161924[[#This Row],[Building 2 (kWh)]]</f>
        <v>322.815</v>
      </c>
      <c r="D17" s="24">
        <f>final_electricity__161924[[#This Row],[Building 3 (kWh)]]</f>
        <v>357.63299999999998</v>
      </c>
      <c r="E17" s="24">
        <f>SUM(final_electricity__1619242630[[#This Row],[ Building 1 (kWh)]]:final_electricity__1619242630[[#This Row],[Building 3 (kWh)]])</f>
        <v>680.62300000000005</v>
      </c>
      <c r="G17" s="29">
        <v>14</v>
      </c>
      <c r="H17" s="32">
        <f>final_electricity__118[[#This Row],[Generation]]/1000*('Conversion Technologies'!$I$11/('Conversion Technologies'!$I$2/1000))</f>
        <v>0.19637000000000002</v>
      </c>
      <c r="I17" s="32">
        <f>('Conversion Technologies'!$I$12/'Conversion Technologies'!$I$11)*H17</f>
        <v>1.9637000000000002</v>
      </c>
      <c r="J17" s="32">
        <f>('Conversion Technologies'!$I$13/'Conversion Technologies'!$I$11)*H17</f>
        <v>3.9274000000000004</v>
      </c>
      <c r="K17" s="32">
        <f>SUM(final_electricity__161924263031[[#This Row],[ Building 1 (kWh)]]:final_electricity__161924263031[[#This Row],[Building 3 (kWh)]])</f>
        <v>6.0874700000000006</v>
      </c>
      <c r="M17" s="29">
        <v>14</v>
      </c>
      <c r="N17" s="24">
        <f t="shared" si="2"/>
        <v>0</v>
      </c>
      <c r="O17" s="24">
        <f t="shared" si="3"/>
        <v>320.85129999999998</v>
      </c>
      <c r="P17" s="24">
        <f t="shared" si="4"/>
        <v>353.7056</v>
      </c>
      <c r="R17" s="29">
        <v>14</v>
      </c>
      <c r="S17" s="24">
        <f t="shared" si="5"/>
        <v>-2.1370000000000028E-2</v>
      </c>
      <c r="T17" s="24">
        <f t="shared" si="0"/>
        <v>0</v>
      </c>
      <c r="U17" s="24">
        <f t="shared" si="1"/>
        <v>0</v>
      </c>
      <c r="W17" s="29">
        <v>14</v>
      </c>
      <c r="X17" s="24">
        <f>N17*tariffs[[#This Row],[Building 1 (buy)]]</f>
        <v>0</v>
      </c>
      <c r="Y17" s="24">
        <f>O17*tariffs[[#This Row],[Building 2 (buy)]]</f>
        <v>50.341568969999997</v>
      </c>
      <c r="Z17" s="24">
        <f>P17*tariffs[[#This Row],[Building 3 (buy)]]</f>
        <v>59.210317439999997</v>
      </c>
      <c r="AB17" s="29">
        <v>14</v>
      </c>
      <c r="AC17" s="24">
        <f>H17*'Conversion Technologies'!$I$8</f>
        <v>6.4975367647058828E-3</v>
      </c>
      <c r="AD17" s="24">
        <f>I17*'Conversion Technologies'!$I$8</f>
        <v>6.4975367647058829E-2</v>
      </c>
      <c r="AE17" s="24">
        <f>J17*'Conversion Technologies'!$I$8</f>
        <v>0.12995073529411766</v>
      </c>
      <c r="AF17" s="24">
        <f>SUM(final_electricity__16192426303132333435[[#This Row],[ Building 1 (kWh)]]:final_electricity__16192426303132333435[[#This Row],[Building 3 (kWh)]])</f>
        <v>0.20142363970588237</v>
      </c>
      <c r="AH17" s="29">
        <v>14</v>
      </c>
      <c r="AI17" s="32">
        <f>-S17*tariffs[[#This Row],[Building 1 (sell)]]</f>
        <v>1.4104200000000019E-3</v>
      </c>
      <c r="AJ17" s="32">
        <f>-T17*tariffs[[#This Row],[Building 2 (sell)]]</f>
        <v>0</v>
      </c>
      <c r="AK17" s="32">
        <f>-U17*tariffs[[#This Row],[Building 3 (sell)]]</f>
        <v>0</v>
      </c>
      <c r="AM17" s="29">
        <v>14</v>
      </c>
      <c r="AN17" s="24">
        <f>N17*'Conversion Technologies'!$E$2</f>
        <v>0</v>
      </c>
      <c r="AO17" s="24">
        <f>O17*'Conversion Technologies'!$E$2</f>
        <v>64.170259999999999</v>
      </c>
      <c r="AP17" s="24">
        <f>P17*'Conversion Technologies'!$E$2</f>
        <v>70.741120000000009</v>
      </c>
    </row>
    <row r="18" spans="1:42" x14ac:dyDescent="0.35">
      <c r="A18" s="29">
        <v>15</v>
      </c>
      <c r="B18" s="24">
        <f>final_electricity__161924[[#This Row],[ Building 1 (kWh)]]+final_electricity__16192425[[#This Row],[Total]]</f>
        <v>0.23200000000000001</v>
      </c>
      <c r="C18" s="24">
        <f>final_electricity__161924[[#This Row],[Building 2 (kWh)]]</f>
        <v>325.81900000000002</v>
      </c>
      <c r="D18" s="24">
        <f>final_electricity__161924[[#This Row],[Building 3 (kWh)]]</f>
        <v>367.19799999999998</v>
      </c>
      <c r="E18" s="24">
        <f>SUM(final_electricity__1619242630[[#This Row],[ Building 1 (kWh)]]:final_electricity__1619242630[[#This Row],[Building 3 (kWh)]])</f>
        <v>693.24900000000002</v>
      </c>
      <c r="G18" s="29">
        <v>15</v>
      </c>
      <c r="H18" s="32">
        <f>final_electricity__118[[#This Row],[Generation]]/1000*('Conversion Technologies'!$I$11/('Conversion Technologies'!$I$2/1000))</f>
        <v>0.19963999999999998</v>
      </c>
      <c r="I18" s="32">
        <f>('Conversion Technologies'!$I$12/'Conversion Technologies'!$I$11)*H18</f>
        <v>1.9964</v>
      </c>
      <c r="J18" s="32">
        <f>('Conversion Technologies'!$I$13/'Conversion Technologies'!$I$11)*H18</f>
        <v>3.9927999999999999</v>
      </c>
      <c r="K18" s="32">
        <f>SUM(final_electricity__161924263031[[#This Row],[ Building 1 (kWh)]]:final_electricity__161924263031[[#This Row],[Building 3 (kWh)]])</f>
        <v>6.1888399999999999</v>
      </c>
      <c r="M18" s="29">
        <v>15</v>
      </c>
      <c r="N18" s="24">
        <f t="shared" si="2"/>
        <v>3.2360000000000028E-2</v>
      </c>
      <c r="O18" s="24">
        <f t="shared" si="3"/>
        <v>323.82260000000002</v>
      </c>
      <c r="P18" s="24">
        <f t="shared" si="4"/>
        <v>363.20519999999999</v>
      </c>
      <c r="R18" s="29">
        <v>15</v>
      </c>
      <c r="S18" s="24">
        <f t="shared" si="5"/>
        <v>0</v>
      </c>
      <c r="T18" s="24">
        <f t="shared" si="0"/>
        <v>0</v>
      </c>
      <c r="U18" s="24">
        <f t="shared" si="1"/>
        <v>0</v>
      </c>
      <c r="W18" s="29">
        <v>15</v>
      </c>
      <c r="X18" s="24">
        <f>N18*tariffs[[#This Row],[Building 1 (buy)]]</f>
        <v>6.3296160000000049E-3</v>
      </c>
      <c r="Y18" s="24">
        <f>O18*tariffs[[#This Row],[Building 2 (buy)]]</f>
        <v>50.80776594000001</v>
      </c>
      <c r="Z18" s="24">
        <f>P18*tariffs[[#This Row],[Building 3 (buy)]]</f>
        <v>60.800550479999998</v>
      </c>
      <c r="AB18" s="29">
        <v>15</v>
      </c>
      <c r="AC18" s="24">
        <f>H18*'Conversion Technologies'!$I$8</f>
        <v>6.6057352941176466E-3</v>
      </c>
      <c r="AD18" s="24">
        <f>I18*'Conversion Technologies'!$I$8</f>
        <v>6.605735294117647E-2</v>
      </c>
      <c r="AE18" s="24">
        <f>J18*'Conversion Technologies'!$I$8</f>
        <v>0.13211470588235294</v>
      </c>
      <c r="AF18" s="24">
        <f>SUM(final_electricity__16192426303132333435[[#This Row],[ Building 1 (kWh)]]:final_electricity__16192426303132333435[[#This Row],[Building 3 (kWh)]])</f>
        <v>0.20477779411764707</v>
      </c>
      <c r="AH18" s="29">
        <v>15</v>
      </c>
      <c r="AI18" s="32">
        <f>-S18*tariffs[[#This Row],[Building 1 (sell)]]</f>
        <v>0</v>
      </c>
      <c r="AJ18" s="32">
        <f>-T18*tariffs[[#This Row],[Building 2 (sell)]]</f>
        <v>0</v>
      </c>
      <c r="AK18" s="32">
        <f>-U18*tariffs[[#This Row],[Building 3 (sell)]]</f>
        <v>0</v>
      </c>
      <c r="AM18" s="29">
        <v>15</v>
      </c>
      <c r="AN18" s="24">
        <f>N18*'Conversion Technologies'!$E$2</f>
        <v>6.4720000000000055E-3</v>
      </c>
      <c r="AO18" s="24">
        <f>O18*'Conversion Technologies'!$E$2</f>
        <v>64.764520000000005</v>
      </c>
      <c r="AP18" s="24">
        <f>P18*'Conversion Technologies'!$E$2</f>
        <v>72.641040000000004</v>
      </c>
    </row>
    <row r="19" spans="1:42" x14ac:dyDescent="0.35">
      <c r="A19" s="29">
        <v>16</v>
      </c>
      <c r="B19" s="24">
        <f>final_electricity__161924[[#This Row],[ Building 1 (kWh)]]+final_electricity__16192425[[#This Row],[Total]]</f>
        <v>0.161</v>
      </c>
      <c r="C19" s="24">
        <f>final_electricity__161924[[#This Row],[Building 2 (kWh)]]</f>
        <v>305.94099999999997</v>
      </c>
      <c r="D19" s="24">
        <f>final_electricity__161924[[#This Row],[Building 3 (kWh)]]</f>
        <v>356.8</v>
      </c>
      <c r="E19" s="24">
        <f>SUM(final_electricity__1619242630[[#This Row],[ Building 1 (kWh)]]:final_electricity__1619242630[[#This Row],[Building 3 (kWh)]])</f>
        <v>662.90200000000004</v>
      </c>
      <c r="G19" s="29">
        <v>16</v>
      </c>
      <c r="H19" s="32">
        <f>final_electricity__118[[#This Row],[Generation]]/1000*('Conversion Technologies'!$I$11/('Conversion Technologies'!$I$2/1000))</f>
        <v>0.18173000000000003</v>
      </c>
      <c r="I19" s="32">
        <f>('Conversion Technologies'!$I$12/'Conversion Technologies'!$I$11)*H19</f>
        <v>1.8173000000000004</v>
      </c>
      <c r="J19" s="32">
        <f>('Conversion Technologies'!$I$13/'Conversion Technologies'!$I$11)*H19</f>
        <v>3.6346000000000007</v>
      </c>
      <c r="K19" s="32">
        <f>SUM(final_electricity__161924263031[[#This Row],[ Building 1 (kWh)]]:final_electricity__161924263031[[#This Row],[Building 3 (kWh)]])</f>
        <v>5.633630000000001</v>
      </c>
      <c r="M19" s="29">
        <v>16</v>
      </c>
      <c r="N19" s="24">
        <f t="shared" si="2"/>
        <v>0</v>
      </c>
      <c r="O19" s="24">
        <f t="shared" si="3"/>
        <v>304.12369999999999</v>
      </c>
      <c r="P19" s="24">
        <f t="shared" si="4"/>
        <v>353.16540000000003</v>
      </c>
      <c r="R19" s="29">
        <v>16</v>
      </c>
      <c r="S19" s="24">
        <f t="shared" si="5"/>
        <v>-2.0730000000000026E-2</v>
      </c>
      <c r="T19" s="24">
        <f t="shared" si="0"/>
        <v>0</v>
      </c>
      <c r="U19" s="24">
        <f t="shared" si="1"/>
        <v>0</v>
      </c>
      <c r="W19" s="29">
        <v>16</v>
      </c>
      <c r="X19" s="24">
        <f>N19*tariffs[[#This Row],[Building 1 (buy)]]</f>
        <v>0</v>
      </c>
      <c r="Y19" s="24">
        <f>O19*tariffs[[#This Row],[Building 2 (buy)]]</f>
        <v>47.717008530000001</v>
      </c>
      <c r="Z19" s="24">
        <f>P19*tariffs[[#This Row],[Building 3 (buy)]]</f>
        <v>59.11988796</v>
      </c>
      <c r="AB19" s="29">
        <v>16</v>
      </c>
      <c r="AC19" s="24">
        <f>H19*'Conversion Technologies'!$I$8</f>
        <v>6.0131250000000011E-3</v>
      </c>
      <c r="AD19" s="24">
        <f>I19*'Conversion Technologies'!$I$8</f>
        <v>6.0131250000000011E-2</v>
      </c>
      <c r="AE19" s="24">
        <f>J19*'Conversion Technologies'!$I$8</f>
        <v>0.12026250000000002</v>
      </c>
      <c r="AF19" s="24">
        <f>SUM(final_electricity__16192426303132333435[[#This Row],[ Building 1 (kWh)]]:final_electricity__16192426303132333435[[#This Row],[Building 3 (kWh)]])</f>
        <v>0.18640687500000003</v>
      </c>
      <c r="AH19" s="29">
        <v>16</v>
      </c>
      <c r="AI19" s="32">
        <f>-S19*tariffs[[#This Row],[Building 1 (sell)]]</f>
        <v>1.3681800000000018E-3</v>
      </c>
      <c r="AJ19" s="32">
        <f>-T19*tariffs[[#This Row],[Building 2 (sell)]]</f>
        <v>0</v>
      </c>
      <c r="AK19" s="32">
        <f>-U19*tariffs[[#This Row],[Building 3 (sell)]]</f>
        <v>0</v>
      </c>
      <c r="AM19" s="29">
        <v>16</v>
      </c>
      <c r="AN19" s="24">
        <f>N19*'Conversion Technologies'!$E$2</f>
        <v>0</v>
      </c>
      <c r="AO19" s="24">
        <f>O19*'Conversion Technologies'!$E$2</f>
        <v>60.824739999999998</v>
      </c>
      <c r="AP19" s="24">
        <f>P19*'Conversion Technologies'!$E$2</f>
        <v>70.633080000000007</v>
      </c>
    </row>
    <row r="20" spans="1:42" x14ac:dyDescent="0.35">
      <c r="A20" s="29">
        <v>17</v>
      </c>
      <c r="B20" s="24">
        <f>final_electricity__161924[[#This Row],[ Building 1 (kWh)]]+final_electricity__16192425[[#This Row],[Total]]</f>
        <v>0.28699999999999998</v>
      </c>
      <c r="C20" s="24">
        <f>final_electricity__161924[[#This Row],[Building 2 (kWh)]]</f>
        <v>272.05799999999999</v>
      </c>
      <c r="D20" s="24">
        <f>final_electricity__161924[[#This Row],[Building 3 (kWh)]]</f>
        <v>330.608</v>
      </c>
      <c r="E20" s="24">
        <f>SUM(final_electricity__1619242630[[#This Row],[ Building 1 (kWh)]]:final_electricity__1619242630[[#This Row],[Building 3 (kWh)]])</f>
        <v>602.95299999999997</v>
      </c>
      <c r="G20" s="29">
        <v>17</v>
      </c>
      <c r="H20" s="32">
        <f>final_electricity__118[[#This Row],[Generation]]/1000*('Conversion Technologies'!$I$11/('Conversion Technologies'!$I$2/1000))</f>
        <v>0.17837</v>
      </c>
      <c r="I20" s="32">
        <f>('Conversion Technologies'!$I$12/'Conversion Technologies'!$I$11)*H20</f>
        <v>1.7837000000000001</v>
      </c>
      <c r="J20" s="32">
        <f>('Conversion Technologies'!$I$13/'Conversion Technologies'!$I$11)*H20</f>
        <v>3.5674000000000001</v>
      </c>
      <c r="K20" s="32">
        <f>SUM(final_electricity__161924263031[[#This Row],[ Building 1 (kWh)]]:final_electricity__161924263031[[#This Row],[Building 3 (kWh)]])</f>
        <v>5.5294699999999999</v>
      </c>
      <c r="M20" s="29">
        <v>17</v>
      </c>
      <c r="N20" s="24">
        <f t="shared" si="2"/>
        <v>0.10862999999999998</v>
      </c>
      <c r="O20" s="24">
        <f t="shared" si="3"/>
        <v>270.27429999999998</v>
      </c>
      <c r="P20" s="24">
        <f t="shared" si="4"/>
        <v>327.04059999999998</v>
      </c>
      <c r="R20" s="29">
        <v>17</v>
      </c>
      <c r="S20" s="24">
        <f t="shared" si="5"/>
        <v>0</v>
      </c>
      <c r="T20" s="24">
        <f t="shared" si="0"/>
        <v>0</v>
      </c>
      <c r="U20" s="24">
        <f t="shared" si="1"/>
        <v>0</v>
      </c>
      <c r="W20" s="29">
        <v>17</v>
      </c>
      <c r="X20" s="24">
        <f>N20*tariffs[[#This Row],[Building 1 (buy)]]</f>
        <v>2.1248027999999995E-2</v>
      </c>
      <c r="Y20" s="24">
        <f>O20*tariffs[[#This Row],[Building 2 (buy)]]</f>
        <v>42.406037670000003</v>
      </c>
      <c r="Z20" s="24">
        <f>P20*tariffs[[#This Row],[Building 3 (buy)]]</f>
        <v>54.746596439999998</v>
      </c>
      <c r="AB20" s="29">
        <v>17</v>
      </c>
      <c r="AC20" s="24">
        <f>H20*'Conversion Technologies'!$I$8</f>
        <v>5.901948529411765E-3</v>
      </c>
      <c r="AD20" s="24">
        <f>I20*'Conversion Technologies'!$I$8</f>
        <v>5.901948529411765E-2</v>
      </c>
      <c r="AE20" s="24">
        <f>J20*'Conversion Technologies'!$I$8</f>
        <v>0.1180389705882353</v>
      </c>
      <c r="AF20" s="24">
        <f>SUM(final_electricity__16192426303132333435[[#This Row],[ Building 1 (kWh)]]:final_electricity__16192426303132333435[[#This Row],[Building 3 (kWh)]])</f>
        <v>0.1829604044117647</v>
      </c>
      <c r="AH20" s="29">
        <v>17</v>
      </c>
      <c r="AI20" s="32">
        <f>-S20*tariffs[[#This Row],[Building 1 (sell)]]</f>
        <v>0</v>
      </c>
      <c r="AJ20" s="32">
        <f>-T20*tariffs[[#This Row],[Building 2 (sell)]]</f>
        <v>0</v>
      </c>
      <c r="AK20" s="32">
        <f>-U20*tariffs[[#This Row],[Building 3 (sell)]]</f>
        <v>0</v>
      </c>
      <c r="AM20" s="29">
        <v>17</v>
      </c>
      <c r="AN20" s="24">
        <f>N20*'Conversion Technologies'!$E$2</f>
        <v>2.1725999999999995E-2</v>
      </c>
      <c r="AO20" s="24">
        <f>O20*'Conversion Technologies'!$E$2</f>
        <v>54.054859999999998</v>
      </c>
      <c r="AP20" s="24">
        <f>P20*'Conversion Technologies'!$E$2</f>
        <v>65.408119999999997</v>
      </c>
    </row>
    <row r="21" spans="1:42" x14ac:dyDescent="0.35">
      <c r="A21" s="29">
        <v>18</v>
      </c>
      <c r="B21" s="24">
        <f>final_electricity__161924[[#This Row],[ Building 1 (kWh)]]+final_electricity__16192425[[#This Row],[Total]]</f>
        <v>0.30199999999999999</v>
      </c>
      <c r="C21" s="24">
        <f>final_electricity__161924[[#This Row],[Building 2 (kWh)]]</f>
        <v>225.411</v>
      </c>
      <c r="D21" s="24">
        <f>final_electricity__161924[[#This Row],[Building 3 (kWh)]]</f>
        <v>282.596</v>
      </c>
      <c r="E21" s="24">
        <f>SUM(final_electricity__1619242630[[#This Row],[ Building 1 (kWh)]]:final_electricity__1619242630[[#This Row],[Building 3 (kWh)]])</f>
        <v>508.30899999999997</v>
      </c>
      <c r="G21" s="29">
        <v>18</v>
      </c>
      <c r="H21" s="32">
        <f>final_electricity__118[[#This Row],[Generation]]/1000*('Conversion Technologies'!$I$11/('Conversion Technologies'!$I$2/1000))</f>
        <v>0.15211000000000002</v>
      </c>
      <c r="I21" s="32">
        <f>('Conversion Technologies'!$I$12/'Conversion Technologies'!$I$11)*H21</f>
        <v>1.5211000000000001</v>
      </c>
      <c r="J21" s="32">
        <f>('Conversion Technologies'!$I$13/'Conversion Technologies'!$I$11)*H21</f>
        <v>3.0422000000000002</v>
      </c>
      <c r="K21" s="32">
        <f>SUM(final_electricity__161924263031[[#This Row],[ Building 1 (kWh)]]:final_electricity__161924263031[[#This Row],[Building 3 (kWh)]])</f>
        <v>4.7154100000000003</v>
      </c>
      <c r="M21" s="29">
        <v>18</v>
      </c>
      <c r="N21" s="24">
        <f t="shared" si="2"/>
        <v>0.14988999999999997</v>
      </c>
      <c r="O21" s="24">
        <f t="shared" si="3"/>
        <v>223.88990000000001</v>
      </c>
      <c r="P21" s="24">
        <f t="shared" si="4"/>
        <v>279.55380000000002</v>
      </c>
      <c r="R21" s="29">
        <v>18</v>
      </c>
      <c r="S21" s="24">
        <f t="shared" si="5"/>
        <v>0</v>
      </c>
      <c r="T21" s="24">
        <f t="shared" si="0"/>
        <v>0</v>
      </c>
      <c r="U21" s="24">
        <f t="shared" si="1"/>
        <v>0</v>
      </c>
      <c r="W21" s="29">
        <v>18</v>
      </c>
      <c r="X21" s="24">
        <f>N21*tariffs[[#This Row],[Building 1 (buy)]]</f>
        <v>2.9318483999999992E-2</v>
      </c>
      <c r="Y21" s="24">
        <f>O21*tariffs[[#This Row],[Building 2 (buy)]]</f>
        <v>35.128325310000001</v>
      </c>
      <c r="Z21" s="24">
        <f>P21*tariffs[[#This Row],[Building 3 (buy)]]</f>
        <v>46.797306120000002</v>
      </c>
      <c r="AB21" s="29">
        <v>18</v>
      </c>
      <c r="AC21" s="24">
        <f>H21*'Conversion Technologies'!$I$8</f>
        <v>5.0330514705882361E-3</v>
      </c>
      <c r="AD21" s="24">
        <f>I21*'Conversion Technologies'!$I$8</f>
        <v>5.0330514705882359E-2</v>
      </c>
      <c r="AE21" s="24">
        <f>J21*'Conversion Technologies'!$I$8</f>
        <v>0.10066102941176472</v>
      </c>
      <c r="AF21" s="24">
        <f>SUM(final_electricity__16192426303132333435[[#This Row],[ Building 1 (kWh)]]:final_electricity__16192426303132333435[[#This Row],[Building 3 (kWh)]])</f>
        <v>0.15602459558823531</v>
      </c>
      <c r="AH21" s="29">
        <v>18</v>
      </c>
      <c r="AI21" s="32">
        <f>-S21*tariffs[[#This Row],[Building 1 (sell)]]</f>
        <v>0</v>
      </c>
      <c r="AJ21" s="32">
        <f>-T21*tariffs[[#This Row],[Building 2 (sell)]]</f>
        <v>0</v>
      </c>
      <c r="AK21" s="32">
        <f>-U21*tariffs[[#This Row],[Building 3 (sell)]]</f>
        <v>0</v>
      </c>
      <c r="AM21" s="29">
        <v>18</v>
      </c>
      <c r="AN21" s="24">
        <f>N21*'Conversion Technologies'!$E$2</f>
        <v>2.9977999999999994E-2</v>
      </c>
      <c r="AO21" s="24">
        <f>O21*'Conversion Technologies'!$E$2</f>
        <v>44.777980000000007</v>
      </c>
      <c r="AP21" s="24">
        <f>P21*'Conversion Technologies'!$E$2</f>
        <v>55.91076000000001</v>
      </c>
    </row>
    <row r="22" spans="1:42" x14ac:dyDescent="0.35">
      <c r="A22" s="29">
        <v>19</v>
      </c>
      <c r="B22" s="24">
        <f>final_electricity__161924[[#This Row],[ Building 1 (kWh)]]+final_electricity__16192425[[#This Row],[Total]]</f>
        <v>0.154</v>
      </c>
      <c r="C22" s="24">
        <f>final_electricity__161924[[#This Row],[Building 2 (kWh)]]</f>
        <v>200.375</v>
      </c>
      <c r="D22" s="24">
        <f>final_electricity__161924[[#This Row],[Building 3 (kWh)]]</f>
        <v>220.05699999999999</v>
      </c>
      <c r="E22" s="24">
        <f>SUM(final_electricity__1619242630[[#This Row],[ Building 1 (kWh)]]:final_electricity__1619242630[[#This Row],[Building 3 (kWh)]])</f>
        <v>420.58600000000001</v>
      </c>
      <c r="G22" s="29">
        <v>19</v>
      </c>
      <c r="H22" s="32">
        <f>final_electricity__118[[#This Row],[Generation]]/1000*('Conversion Technologies'!$I$11/('Conversion Technologies'!$I$2/1000))</f>
        <v>0</v>
      </c>
      <c r="I22" s="32">
        <f>('Conversion Technologies'!$I$12/'Conversion Technologies'!$I$11)*H22</f>
        <v>0</v>
      </c>
      <c r="J22" s="32">
        <f>('Conversion Technologies'!$I$13/'Conversion Technologies'!$I$11)*H22</f>
        <v>0</v>
      </c>
      <c r="K22" s="32">
        <f>SUM(final_electricity__161924263031[[#This Row],[ Building 1 (kWh)]]:final_electricity__161924263031[[#This Row],[Building 3 (kWh)]])</f>
        <v>0</v>
      </c>
      <c r="M22" s="29">
        <v>19</v>
      </c>
      <c r="N22" s="24">
        <f t="shared" si="2"/>
        <v>0.154</v>
      </c>
      <c r="O22" s="24">
        <f t="shared" si="3"/>
        <v>200.375</v>
      </c>
      <c r="P22" s="24">
        <f t="shared" si="4"/>
        <v>220.05699999999999</v>
      </c>
      <c r="R22" s="29">
        <v>19</v>
      </c>
      <c r="S22" s="24">
        <f t="shared" si="5"/>
        <v>0</v>
      </c>
      <c r="T22" s="24">
        <f t="shared" si="0"/>
        <v>0</v>
      </c>
      <c r="U22" s="24">
        <f t="shared" si="1"/>
        <v>0</v>
      </c>
      <c r="W22" s="29">
        <v>19</v>
      </c>
      <c r="X22" s="24">
        <f>N22*tariffs[[#This Row],[Building 1 (buy)]]</f>
        <v>3.0122400000000001E-2</v>
      </c>
      <c r="Y22" s="24">
        <f>O22*tariffs[[#This Row],[Building 2 (buy)]]</f>
        <v>35.185850000000002</v>
      </c>
      <c r="Z22" s="24">
        <f>P22*tariffs[[#This Row],[Building 3 (buy)]]</f>
        <v>38.620003499999996</v>
      </c>
      <c r="AB22" s="29">
        <v>19</v>
      </c>
      <c r="AC22" s="24">
        <f>H22*'Conversion Technologies'!$I$8</f>
        <v>0</v>
      </c>
      <c r="AD22" s="24">
        <f>I22*'Conversion Technologies'!$I$8</f>
        <v>0</v>
      </c>
      <c r="AE22" s="24">
        <f>J22*'Conversion Technologies'!$I$8</f>
        <v>0</v>
      </c>
      <c r="AF22" s="24">
        <f>SUM(final_electricity__16192426303132333435[[#This Row],[ Building 1 (kWh)]]:final_electricity__16192426303132333435[[#This Row],[Building 3 (kWh)]])</f>
        <v>0</v>
      </c>
      <c r="AH22" s="29">
        <v>19</v>
      </c>
      <c r="AI22" s="32">
        <f>-S22*tariffs[[#This Row],[Building 1 (sell)]]</f>
        <v>0</v>
      </c>
      <c r="AJ22" s="32">
        <f>-T22*tariffs[[#This Row],[Building 2 (sell)]]</f>
        <v>0</v>
      </c>
      <c r="AK22" s="32">
        <f>-U22*tariffs[[#This Row],[Building 3 (sell)]]</f>
        <v>0</v>
      </c>
      <c r="AM22" s="29">
        <v>19</v>
      </c>
      <c r="AN22" s="24">
        <f>N22*'Conversion Technologies'!$E$2</f>
        <v>3.0800000000000001E-2</v>
      </c>
      <c r="AO22" s="24">
        <f>O22*'Conversion Technologies'!$E$2</f>
        <v>40.075000000000003</v>
      </c>
      <c r="AP22" s="24">
        <f>P22*'Conversion Technologies'!$E$2</f>
        <v>44.011400000000002</v>
      </c>
    </row>
    <row r="23" spans="1:42" x14ac:dyDescent="0.35">
      <c r="A23" s="29">
        <v>20</v>
      </c>
      <c r="B23" s="24">
        <f>final_electricity__161924[[#This Row],[ Building 1 (kWh)]]+final_electricity__16192425[[#This Row],[Total]]</f>
        <v>0.65300000000000002</v>
      </c>
      <c r="C23" s="24">
        <f>final_electricity__161924[[#This Row],[Building 2 (kWh)]]</f>
        <v>163.98</v>
      </c>
      <c r="D23" s="24">
        <f>final_electricity__161924[[#This Row],[Building 3 (kWh)]]</f>
        <v>178.715</v>
      </c>
      <c r="E23" s="24">
        <f>SUM(final_electricity__1619242630[[#This Row],[ Building 1 (kWh)]]:final_electricity__1619242630[[#This Row],[Building 3 (kWh)]])</f>
        <v>343.34799999999996</v>
      </c>
      <c r="G23" s="29">
        <v>20</v>
      </c>
      <c r="H23" s="32">
        <f>final_electricity__118[[#This Row],[Generation]]/1000*('Conversion Technologies'!$I$11/('Conversion Technologies'!$I$2/1000))</f>
        <v>0</v>
      </c>
      <c r="I23" s="32">
        <f>('Conversion Technologies'!$I$12/'Conversion Technologies'!$I$11)*H23</f>
        <v>0</v>
      </c>
      <c r="J23" s="32">
        <f>('Conversion Technologies'!$I$13/'Conversion Technologies'!$I$11)*H23</f>
        <v>0</v>
      </c>
      <c r="K23" s="32">
        <f>SUM(final_electricity__161924263031[[#This Row],[ Building 1 (kWh)]]:final_electricity__161924263031[[#This Row],[Building 3 (kWh)]])</f>
        <v>0</v>
      </c>
      <c r="M23" s="29">
        <v>20</v>
      </c>
      <c r="N23" s="24">
        <f t="shared" si="2"/>
        <v>0.65300000000000002</v>
      </c>
      <c r="O23" s="24">
        <f t="shared" si="3"/>
        <v>163.98</v>
      </c>
      <c r="P23" s="24">
        <f t="shared" si="4"/>
        <v>178.715</v>
      </c>
      <c r="R23" s="29">
        <v>20</v>
      </c>
      <c r="S23" s="24">
        <f t="shared" si="5"/>
        <v>0</v>
      </c>
      <c r="T23" s="24">
        <f t="shared" si="0"/>
        <v>0</v>
      </c>
      <c r="U23" s="24">
        <f t="shared" si="1"/>
        <v>0</v>
      </c>
      <c r="W23" s="29">
        <v>20</v>
      </c>
      <c r="X23" s="24">
        <f>N23*tariffs[[#This Row],[Building 1 (buy)]]</f>
        <v>0.1277268</v>
      </c>
      <c r="Y23" s="24">
        <f>O23*tariffs[[#This Row],[Building 2 (buy)]]</f>
        <v>28.794888</v>
      </c>
      <c r="Z23" s="24">
        <f>P23*tariffs[[#This Row],[Building 3 (buy)]]</f>
        <v>31.364482499999998</v>
      </c>
      <c r="AB23" s="29">
        <v>20</v>
      </c>
      <c r="AC23" s="24">
        <f>H23*'Conversion Technologies'!$I$8</f>
        <v>0</v>
      </c>
      <c r="AD23" s="24">
        <f>I23*'Conversion Technologies'!$I$8</f>
        <v>0</v>
      </c>
      <c r="AE23" s="24">
        <f>J23*'Conversion Technologies'!$I$8</f>
        <v>0</v>
      </c>
      <c r="AF23" s="24">
        <f>SUM(final_electricity__16192426303132333435[[#This Row],[ Building 1 (kWh)]]:final_electricity__16192426303132333435[[#This Row],[Building 3 (kWh)]])</f>
        <v>0</v>
      </c>
      <c r="AH23" s="29">
        <v>20</v>
      </c>
      <c r="AI23" s="32">
        <f>-S23*tariffs[[#This Row],[Building 1 (sell)]]</f>
        <v>0</v>
      </c>
      <c r="AJ23" s="32">
        <f>-T23*tariffs[[#This Row],[Building 2 (sell)]]</f>
        <v>0</v>
      </c>
      <c r="AK23" s="32">
        <f>-U23*tariffs[[#This Row],[Building 3 (sell)]]</f>
        <v>0</v>
      </c>
      <c r="AM23" s="29">
        <v>20</v>
      </c>
      <c r="AN23" s="24">
        <f>N23*'Conversion Technologies'!$E$2</f>
        <v>0.13060000000000002</v>
      </c>
      <c r="AO23" s="24">
        <f>O23*'Conversion Technologies'!$E$2</f>
        <v>32.795999999999999</v>
      </c>
      <c r="AP23" s="24">
        <f>P23*'Conversion Technologies'!$E$2</f>
        <v>35.743000000000002</v>
      </c>
    </row>
    <row r="24" spans="1:42" x14ac:dyDescent="0.35">
      <c r="A24" s="29">
        <v>21</v>
      </c>
      <c r="B24" s="24">
        <f>final_electricity__161924[[#This Row],[ Building 1 (kWh)]]+final_electricity__16192425[[#This Row],[Total]]</f>
        <v>1.663</v>
      </c>
      <c r="C24" s="24">
        <f>final_electricity__161924[[#This Row],[Building 2 (kWh)]]</f>
        <v>148.77500000000001</v>
      </c>
      <c r="D24" s="24">
        <f>final_electricity__161924[[#This Row],[Building 3 (kWh)]]</f>
        <v>153.333</v>
      </c>
      <c r="E24" s="24">
        <f>SUM(final_electricity__1619242630[[#This Row],[ Building 1 (kWh)]]:final_electricity__1619242630[[#This Row],[Building 3 (kWh)]])</f>
        <v>303.77100000000002</v>
      </c>
      <c r="G24" s="29">
        <v>21</v>
      </c>
      <c r="H24" s="32">
        <f>final_electricity__118[[#This Row],[Generation]]/1000*('Conversion Technologies'!$I$11/('Conversion Technologies'!$I$2/1000))</f>
        <v>0</v>
      </c>
      <c r="I24" s="32">
        <f>('Conversion Technologies'!$I$12/'Conversion Technologies'!$I$11)*H24</f>
        <v>0</v>
      </c>
      <c r="J24" s="32">
        <f>('Conversion Technologies'!$I$13/'Conversion Technologies'!$I$11)*H24</f>
        <v>0</v>
      </c>
      <c r="K24" s="32">
        <f>SUM(final_electricity__161924263031[[#This Row],[ Building 1 (kWh)]]:final_electricity__161924263031[[#This Row],[Building 3 (kWh)]])</f>
        <v>0</v>
      </c>
      <c r="M24" s="29">
        <v>21</v>
      </c>
      <c r="N24" s="24">
        <f t="shared" si="2"/>
        <v>1.663</v>
      </c>
      <c r="O24" s="24">
        <f t="shared" si="3"/>
        <v>148.77500000000001</v>
      </c>
      <c r="P24" s="24">
        <f t="shared" si="4"/>
        <v>153.333</v>
      </c>
      <c r="R24" s="29">
        <v>21</v>
      </c>
      <c r="S24" s="24">
        <f t="shared" si="5"/>
        <v>0</v>
      </c>
      <c r="T24" s="24">
        <f t="shared" si="0"/>
        <v>0</v>
      </c>
      <c r="U24" s="24">
        <f t="shared" si="1"/>
        <v>0</v>
      </c>
      <c r="W24" s="29">
        <v>21</v>
      </c>
      <c r="X24" s="24">
        <f>N24*tariffs[[#This Row],[Building 1 (buy)]]</f>
        <v>0.32528279999999998</v>
      </c>
      <c r="Y24" s="24">
        <f>O24*tariffs[[#This Row],[Building 2 (buy)]]</f>
        <v>23.342797500000003</v>
      </c>
      <c r="Z24" s="24">
        <f>P24*tariffs[[#This Row],[Building 3 (buy)]]</f>
        <v>25.667944199999997</v>
      </c>
      <c r="AB24" s="29">
        <v>21</v>
      </c>
      <c r="AC24" s="24">
        <f>H24*'Conversion Technologies'!$I$8</f>
        <v>0</v>
      </c>
      <c r="AD24" s="24">
        <f>I24*'Conversion Technologies'!$I$8</f>
        <v>0</v>
      </c>
      <c r="AE24" s="24">
        <f>J24*'Conversion Technologies'!$I$8</f>
        <v>0</v>
      </c>
      <c r="AF24" s="24">
        <f>SUM(final_electricity__16192426303132333435[[#This Row],[ Building 1 (kWh)]]:final_electricity__16192426303132333435[[#This Row],[Building 3 (kWh)]])</f>
        <v>0</v>
      </c>
      <c r="AH24" s="29">
        <v>21</v>
      </c>
      <c r="AI24" s="32">
        <f>-S24*tariffs[[#This Row],[Building 1 (sell)]]</f>
        <v>0</v>
      </c>
      <c r="AJ24" s="32">
        <f>-T24*tariffs[[#This Row],[Building 2 (sell)]]</f>
        <v>0</v>
      </c>
      <c r="AK24" s="32">
        <f>-U24*tariffs[[#This Row],[Building 3 (sell)]]</f>
        <v>0</v>
      </c>
      <c r="AM24" s="29">
        <v>21</v>
      </c>
      <c r="AN24" s="24">
        <f>N24*'Conversion Technologies'!$E$2</f>
        <v>0.33260000000000001</v>
      </c>
      <c r="AO24" s="24">
        <f>O24*'Conversion Technologies'!$E$2</f>
        <v>29.755000000000003</v>
      </c>
      <c r="AP24" s="24">
        <f>P24*'Conversion Technologies'!$E$2</f>
        <v>30.666600000000003</v>
      </c>
    </row>
    <row r="25" spans="1:42" x14ac:dyDescent="0.35">
      <c r="A25" s="29">
        <v>22</v>
      </c>
      <c r="B25" s="24">
        <f>final_electricity__161924[[#This Row],[ Building 1 (kWh)]]+final_electricity__16192425[[#This Row],[Total]]</f>
        <v>0.755</v>
      </c>
      <c r="C25" s="24">
        <f>final_electricity__161924[[#This Row],[Building 2 (kWh)]]</f>
        <v>128.393</v>
      </c>
      <c r="D25" s="24">
        <f>final_electricity__161924[[#This Row],[Building 3 (kWh)]]</f>
        <v>138.67599999999999</v>
      </c>
      <c r="E25" s="24">
        <f>SUM(final_electricity__1619242630[[#This Row],[ Building 1 (kWh)]]:final_electricity__1619242630[[#This Row],[Building 3 (kWh)]])</f>
        <v>267.82399999999996</v>
      </c>
      <c r="G25" s="29">
        <v>22</v>
      </c>
      <c r="H25" s="32">
        <f>final_electricity__118[[#This Row],[Generation]]/1000*('Conversion Technologies'!$I$11/('Conversion Technologies'!$I$2/1000))</f>
        <v>0</v>
      </c>
      <c r="I25" s="32">
        <f>('Conversion Technologies'!$I$12/'Conversion Technologies'!$I$11)*H25</f>
        <v>0</v>
      </c>
      <c r="J25" s="32">
        <f>('Conversion Technologies'!$I$13/'Conversion Technologies'!$I$11)*H25</f>
        <v>0</v>
      </c>
      <c r="K25" s="32">
        <f>SUM(final_electricity__161924263031[[#This Row],[ Building 1 (kWh)]]:final_electricity__161924263031[[#This Row],[Building 3 (kWh)]])</f>
        <v>0</v>
      </c>
      <c r="M25" s="29">
        <v>22</v>
      </c>
      <c r="N25" s="24">
        <f t="shared" si="2"/>
        <v>0.755</v>
      </c>
      <c r="O25" s="24">
        <f t="shared" si="3"/>
        <v>128.393</v>
      </c>
      <c r="P25" s="24">
        <f t="shared" si="4"/>
        <v>138.67599999999999</v>
      </c>
      <c r="R25" s="29">
        <v>22</v>
      </c>
      <c r="S25" s="24">
        <f t="shared" si="5"/>
        <v>0</v>
      </c>
      <c r="T25" s="24">
        <f t="shared" si="0"/>
        <v>0</v>
      </c>
      <c r="U25" s="24">
        <f t="shared" si="1"/>
        <v>0</v>
      </c>
      <c r="W25" s="29">
        <v>22</v>
      </c>
      <c r="X25" s="24">
        <f>N25*tariffs[[#This Row],[Building 1 (buy)]]</f>
        <v>0.147678</v>
      </c>
      <c r="Y25" s="24">
        <f>O25*tariffs[[#This Row],[Building 2 (buy)]]</f>
        <v>20.1448617</v>
      </c>
      <c r="Z25" s="24">
        <f>P25*tariffs[[#This Row],[Building 3 (buy)]]</f>
        <v>23.214362399999995</v>
      </c>
      <c r="AB25" s="29">
        <v>22</v>
      </c>
      <c r="AC25" s="24">
        <f>H25*'Conversion Technologies'!$I$8</f>
        <v>0</v>
      </c>
      <c r="AD25" s="24">
        <f>I25*'Conversion Technologies'!$I$8</f>
        <v>0</v>
      </c>
      <c r="AE25" s="24">
        <f>J25*'Conversion Technologies'!$I$8</f>
        <v>0</v>
      </c>
      <c r="AF25" s="24">
        <f>SUM(final_electricity__16192426303132333435[[#This Row],[ Building 1 (kWh)]]:final_electricity__16192426303132333435[[#This Row],[Building 3 (kWh)]])</f>
        <v>0</v>
      </c>
      <c r="AH25" s="29">
        <v>22</v>
      </c>
      <c r="AI25" s="32">
        <f>-S25*tariffs[[#This Row],[Building 1 (sell)]]</f>
        <v>0</v>
      </c>
      <c r="AJ25" s="32">
        <f>-T25*tariffs[[#This Row],[Building 2 (sell)]]</f>
        <v>0</v>
      </c>
      <c r="AK25" s="32">
        <f>-U25*tariffs[[#This Row],[Building 3 (sell)]]</f>
        <v>0</v>
      </c>
      <c r="AM25" s="29">
        <v>22</v>
      </c>
      <c r="AN25" s="24">
        <f>N25*'Conversion Technologies'!$E$2</f>
        <v>0.15100000000000002</v>
      </c>
      <c r="AO25" s="24">
        <f>O25*'Conversion Technologies'!$E$2</f>
        <v>25.678600000000003</v>
      </c>
      <c r="AP25" s="24">
        <f>P25*'Conversion Technologies'!$E$2</f>
        <v>27.735199999999999</v>
      </c>
    </row>
    <row r="26" spans="1:42" x14ac:dyDescent="0.35">
      <c r="A26" s="29">
        <v>23</v>
      </c>
      <c r="B26" s="24">
        <f>final_electricity__161924[[#This Row],[ Building 1 (kWh)]]+final_electricity__16192425[[#This Row],[Total]]</f>
        <v>0.44400000000000001</v>
      </c>
      <c r="C26" s="24">
        <f>final_electricity__161924[[#This Row],[Building 2 (kWh)]]</f>
        <v>121.883</v>
      </c>
      <c r="D26" s="24">
        <f>final_electricity__161924[[#This Row],[Building 3 (kWh)]]</f>
        <v>135.27199999999999</v>
      </c>
      <c r="E26" s="24">
        <f>SUM(final_electricity__1619242630[[#This Row],[ Building 1 (kWh)]]:final_electricity__1619242630[[#This Row],[Building 3 (kWh)]])</f>
        <v>257.59899999999999</v>
      </c>
      <c r="G26" s="29">
        <v>23</v>
      </c>
      <c r="H26" s="32">
        <f>final_electricity__118[[#This Row],[Generation]]/1000*('Conversion Technologies'!$I$11/('Conversion Technologies'!$I$2/1000))</f>
        <v>0</v>
      </c>
      <c r="I26" s="32">
        <f>('Conversion Technologies'!$I$12/'Conversion Technologies'!$I$11)*H26</f>
        <v>0</v>
      </c>
      <c r="J26" s="32">
        <f>('Conversion Technologies'!$I$13/'Conversion Technologies'!$I$11)*H26</f>
        <v>0</v>
      </c>
      <c r="K26" s="32">
        <f>SUM(final_electricity__161924263031[[#This Row],[ Building 1 (kWh)]]:final_electricity__161924263031[[#This Row],[Building 3 (kWh)]])</f>
        <v>0</v>
      </c>
      <c r="M26" s="29">
        <v>23</v>
      </c>
      <c r="N26" s="24">
        <f t="shared" si="2"/>
        <v>0.44400000000000001</v>
      </c>
      <c r="O26" s="24">
        <f t="shared" si="3"/>
        <v>121.883</v>
      </c>
      <c r="P26" s="24">
        <f t="shared" si="4"/>
        <v>135.27199999999999</v>
      </c>
      <c r="R26" s="29">
        <v>23</v>
      </c>
      <c r="S26" s="24">
        <f t="shared" si="5"/>
        <v>0</v>
      </c>
      <c r="T26" s="24">
        <f t="shared" si="0"/>
        <v>0</v>
      </c>
      <c r="U26" s="24">
        <f t="shared" si="1"/>
        <v>0</v>
      </c>
      <c r="W26" s="29">
        <v>23</v>
      </c>
      <c r="X26" s="24">
        <f>N26*tariffs[[#This Row],[Building 1 (buy)]]</f>
        <v>8.6846400000000004E-2</v>
      </c>
      <c r="Y26" s="24">
        <f>O26*tariffs[[#This Row],[Building 2 (buy)]]</f>
        <v>19.123442700000002</v>
      </c>
      <c r="Z26" s="24">
        <f>P26*tariffs[[#This Row],[Building 3 (buy)]]</f>
        <v>22.644532799999997</v>
      </c>
      <c r="AB26" s="29">
        <v>23</v>
      </c>
      <c r="AC26" s="24">
        <f>H26*'Conversion Technologies'!$I$8</f>
        <v>0</v>
      </c>
      <c r="AD26" s="24">
        <f>I26*'Conversion Technologies'!$I$8</f>
        <v>0</v>
      </c>
      <c r="AE26" s="24">
        <f>J26*'Conversion Technologies'!$I$8</f>
        <v>0</v>
      </c>
      <c r="AF26" s="24">
        <f>SUM(final_electricity__16192426303132333435[[#This Row],[ Building 1 (kWh)]]:final_electricity__16192426303132333435[[#This Row],[Building 3 (kWh)]])</f>
        <v>0</v>
      </c>
      <c r="AH26" s="29">
        <v>23</v>
      </c>
      <c r="AI26" s="32">
        <f>-S26*tariffs[[#This Row],[Building 1 (sell)]]</f>
        <v>0</v>
      </c>
      <c r="AJ26" s="32">
        <f>-T26*tariffs[[#This Row],[Building 2 (sell)]]</f>
        <v>0</v>
      </c>
      <c r="AK26" s="32">
        <f>-U26*tariffs[[#This Row],[Building 3 (sell)]]</f>
        <v>0</v>
      </c>
      <c r="AM26" s="29">
        <v>23</v>
      </c>
      <c r="AN26" s="24">
        <f>N26*'Conversion Technologies'!$E$2</f>
        <v>8.8800000000000004E-2</v>
      </c>
      <c r="AO26" s="24">
        <f>O26*'Conversion Technologies'!$E$2</f>
        <v>24.3766</v>
      </c>
      <c r="AP26" s="24">
        <f>P26*'Conversion Technologies'!$E$2</f>
        <v>27.054400000000001</v>
      </c>
    </row>
    <row r="27" spans="1:42" x14ac:dyDescent="0.35">
      <c r="A27" s="30" t="s">
        <v>165</v>
      </c>
      <c r="B27" s="24">
        <f>SUM(B3:B26)</f>
        <v>25.747321621047867</v>
      </c>
      <c r="C27" s="24">
        <f t="shared" ref="C27:E27" si="6">SUM(C3:C26)</f>
        <v>4859.128999999999</v>
      </c>
      <c r="D27" s="24">
        <f t="shared" si="6"/>
        <v>5688.4694</v>
      </c>
      <c r="E27" s="24">
        <f t="shared" si="6"/>
        <v>10573.345721621046</v>
      </c>
      <c r="G27" s="30" t="s">
        <v>165</v>
      </c>
      <c r="H27" s="35">
        <f>SUM(H3:H26)</f>
        <v>1.6190099999999998</v>
      </c>
      <c r="I27" s="35">
        <f t="shared" ref="I27" si="7">SUM(I3:I26)</f>
        <v>16.190100000000001</v>
      </c>
      <c r="J27" s="35">
        <f t="shared" ref="J27" si="8">SUM(J3:J26)</f>
        <v>32.380200000000002</v>
      </c>
      <c r="K27" s="35">
        <f t="shared" ref="K27" si="9">SUM(K3:K26)</f>
        <v>50.189309999999999</v>
      </c>
      <c r="M27" s="30" t="s">
        <v>165</v>
      </c>
      <c r="N27" s="24">
        <f>SUM(N3:N26)</f>
        <v>24.388261621047871</v>
      </c>
      <c r="O27" s="24">
        <f t="shared" ref="O27" si="10">SUM(O3:O26)</f>
        <v>4842.9388999999992</v>
      </c>
      <c r="P27" s="24">
        <f t="shared" ref="P27" si="11">SUM(P3:P26)</f>
        <v>5656.0891999999994</v>
      </c>
      <c r="R27" s="30" t="s">
        <v>165</v>
      </c>
      <c r="S27" s="24">
        <f>SUM(S3:S26)</f>
        <v>-0.25995000000000007</v>
      </c>
      <c r="T27" s="24">
        <f t="shared" ref="T27" si="12">SUM(T3:T26)</f>
        <v>0</v>
      </c>
      <c r="U27" s="24">
        <f t="shared" ref="U27" si="13">SUM(U3:U26)</f>
        <v>0</v>
      </c>
      <c r="W27" s="30" t="s">
        <v>165</v>
      </c>
      <c r="X27" s="24">
        <f>SUM(X3:X26)</f>
        <v>3.1728660186607582</v>
      </c>
      <c r="Y27" s="24">
        <f t="shared" ref="Y27" si="14">SUM(Y3:Y26)</f>
        <v>733.86298333000013</v>
      </c>
      <c r="Z27" s="24">
        <f t="shared" ref="Z27" si="15">SUM(Z3:Z26)</f>
        <v>914.97956843999998</v>
      </c>
      <c r="AB27" s="30" t="s">
        <v>165</v>
      </c>
      <c r="AC27" s="24">
        <f>SUM(AC3:AC26)</f>
        <v>5.3570183823529412E-2</v>
      </c>
      <c r="AD27" s="24">
        <f t="shared" ref="AD27" si="16">SUM(AD3:AD26)</f>
        <v>0.53570183823529427</v>
      </c>
      <c r="AE27" s="24">
        <f t="shared" ref="AE27" si="17">SUM(AE3:AE26)</f>
        <v>1.0714036764705885</v>
      </c>
      <c r="AF27" s="24">
        <f t="shared" ref="AF27" si="18">SUM(AF3:AF26)</f>
        <v>1.6606756985294122</v>
      </c>
      <c r="AH27" s="30" t="s">
        <v>165</v>
      </c>
      <c r="AI27" s="32">
        <f>SUM(AI3:AI26)</f>
        <v>1.7156700000000004E-2</v>
      </c>
      <c r="AJ27" s="32">
        <f t="shared" ref="AJ27" si="19">SUM(AJ3:AJ26)</f>
        <v>0</v>
      </c>
      <c r="AK27" s="32">
        <f t="shared" ref="AK27" si="20">SUM(AK3:AK26)</f>
        <v>0</v>
      </c>
      <c r="AM27" s="30" t="s">
        <v>165</v>
      </c>
      <c r="AN27" s="24">
        <f>SUM(AN3:AN26)</f>
        <v>4.8776523242095733</v>
      </c>
      <c r="AO27" s="24">
        <f t="shared" ref="AO27" si="21">SUM(AO3:AO26)</f>
        <v>968.58778000000007</v>
      </c>
      <c r="AP27" s="24">
        <f t="shared" ref="AP27" si="22">SUM(AP3:AP26)</f>
        <v>1131.2178400000003</v>
      </c>
    </row>
    <row r="30" spans="1:42" ht="23.5" x14ac:dyDescent="0.55000000000000004">
      <c r="P30" s="106" t="s">
        <v>206</v>
      </c>
      <c r="Q30" s="106"/>
      <c r="R30" s="106"/>
      <c r="S30" s="106"/>
      <c r="T30" s="106"/>
      <c r="U30" s="129" t="s">
        <v>210</v>
      </c>
      <c r="V30" s="129"/>
      <c r="W30" s="129"/>
      <c r="X30" s="129"/>
      <c r="Y30" s="129"/>
    </row>
    <row r="31" spans="1:42" x14ac:dyDescent="0.35">
      <c r="P31" s="24" t="s">
        <v>3</v>
      </c>
      <c r="Q31" s="24" t="s">
        <v>79</v>
      </c>
      <c r="R31" s="24" t="s">
        <v>80</v>
      </c>
      <c r="S31" s="24" t="s">
        <v>0</v>
      </c>
      <c r="T31" s="24" t="s">
        <v>8</v>
      </c>
      <c r="U31" s="24" t="s">
        <v>208</v>
      </c>
      <c r="V31" s="24" t="s">
        <v>207</v>
      </c>
      <c r="W31" s="24" t="s">
        <v>209</v>
      </c>
      <c r="X31" s="24" t="s">
        <v>150</v>
      </c>
      <c r="Y31" s="24" t="s">
        <v>152</v>
      </c>
    </row>
    <row r="32" spans="1:42" ht="18.5" x14ac:dyDescent="0.45">
      <c r="E32" s="31"/>
      <c r="N32" s="31"/>
      <c r="O32" s="31"/>
      <c r="P32" s="29">
        <v>0</v>
      </c>
      <c r="Q32" s="24">
        <f>B3-H3</f>
        <v>2.2950851974523809</v>
      </c>
      <c r="R32" s="24">
        <f t="shared" ref="R32:S32" si="23">C3-I3</f>
        <v>126.105</v>
      </c>
      <c r="S32" s="24">
        <f t="shared" si="23"/>
        <v>122.83199999999999</v>
      </c>
      <c r="T32" s="24">
        <f>SUM(final_electricity__1619242630313245[[#This Row],[ Building 1 (kWh)]]:final_electricity__1619242630313245[[#This Row],[Building 3 (kWh)]])</f>
        <v>251.23208519745239</v>
      </c>
      <c r="U32" s="80">
        <f>IF(SUM(Q32:S32) &lt; 0, SUM(Q32:S32), 0)</f>
        <v>0</v>
      </c>
      <c r="V32" s="80">
        <f>IF(SUM(Q32:S32) &gt; 0, SUM(Q32:S32), 0)</f>
        <v>251.23208519745239</v>
      </c>
      <c r="W32" s="80">
        <f>final_electricity__1619242630313245[[#This Row],[Community]]*'Conversion Technologies'!$E$2</f>
        <v>50.246417039490481</v>
      </c>
      <c r="X32" s="80">
        <f>final_electricity__1619242630313245[[#This Row],[Energy Grid]]*Tariffs!D3</f>
        <v>28.816320172147787</v>
      </c>
      <c r="Y32" s="80">
        <f>IF(SUM(Q32:S32) &lt; 0,-T32*Tariffs!E3, 0)</f>
        <v>0</v>
      </c>
    </row>
    <row r="33" spans="13:25" x14ac:dyDescent="0.35">
      <c r="M33" s="24"/>
      <c r="N33" s="24"/>
      <c r="O33" s="24"/>
      <c r="P33" s="29">
        <v>1</v>
      </c>
      <c r="Q33" s="24">
        <f t="shared" ref="Q33:Q55" si="24">B4-H4</f>
        <v>0.22495814460000002</v>
      </c>
      <c r="R33" s="24">
        <f t="shared" ref="R33:R55" si="25">C4-I4</f>
        <v>124.566</v>
      </c>
      <c r="S33" s="24">
        <f t="shared" ref="S33:S55" si="26">D4-J4</f>
        <v>121.10599999999999</v>
      </c>
      <c r="T33" s="24">
        <f>SUM(final_electricity__1619242630313245[[#This Row],[ Building 1 (kWh)]]:final_electricity__1619242630313245[[#This Row],[Building 3 (kWh)]])</f>
        <v>245.89695814459998</v>
      </c>
      <c r="U33" s="24">
        <f t="shared" ref="U33:U56" si="27">IF(SUM(Q33:S33) &lt; 0, SUM(Q33:S33), 0)</f>
        <v>0</v>
      </c>
      <c r="V33" s="24">
        <f t="shared" ref="V33:V55" si="28">IF(SUM(Q33:S33) &gt; 0, SUM(Q33:S33), 0)</f>
        <v>245.89695814459998</v>
      </c>
      <c r="W33" s="24">
        <f>final_electricity__1619242630313245[[#This Row],[Community]]*'Conversion Technologies'!$E$2</f>
        <v>49.179391628920001</v>
      </c>
      <c r="X33" s="24">
        <f>final_electricity__1619242630313245[[#This Row],[Energy Grid]]*Tariffs!D4</f>
        <v>28.204381099185618</v>
      </c>
      <c r="Y33" s="24">
        <f>IF(SUM(Q33:S33) &lt; 0,-T33*Tariffs!E4, 0)</f>
        <v>0</v>
      </c>
    </row>
    <row r="34" spans="13:25" x14ac:dyDescent="0.35">
      <c r="M34" s="29"/>
      <c r="N34" s="24"/>
      <c r="O34" s="24"/>
      <c r="P34" s="29">
        <v>2</v>
      </c>
      <c r="Q34" s="24">
        <f t="shared" si="24"/>
        <v>14.936496131695485</v>
      </c>
      <c r="R34" s="24">
        <f t="shared" si="25"/>
        <v>122.24</v>
      </c>
      <c r="S34" s="24">
        <f t="shared" si="26"/>
        <v>111.349</v>
      </c>
      <c r="T34" s="24">
        <f>SUM(final_electricity__1619242630313245[[#This Row],[ Building 1 (kWh)]]:final_electricity__1619242630313245[[#This Row],[Building 3 (kWh)]])</f>
        <v>248.52549613169549</v>
      </c>
      <c r="U34" s="80">
        <f t="shared" si="27"/>
        <v>0</v>
      </c>
      <c r="V34" s="80">
        <f t="shared" si="28"/>
        <v>248.52549613169549</v>
      </c>
      <c r="W34" s="80">
        <f>final_electricity__1619242630313245[[#This Row],[Community]]*'Conversion Technologies'!$E$2</f>
        <v>49.705099226339101</v>
      </c>
      <c r="X34" s="80">
        <f>final_electricity__1619242630313245[[#This Row],[Energy Grid]]*Tariffs!D5</f>
        <v>22.367294651852593</v>
      </c>
      <c r="Y34" s="80">
        <f>IF(SUM(Q34:S34) &lt; 0,-T34*Tariffs!E5, 0)</f>
        <v>0</v>
      </c>
    </row>
    <row r="35" spans="13:25" x14ac:dyDescent="0.35">
      <c r="M35" s="29"/>
      <c r="N35" s="24"/>
      <c r="O35" s="24"/>
      <c r="P35" s="29">
        <v>3</v>
      </c>
      <c r="Q35" s="24">
        <f t="shared" si="24"/>
        <v>0.21985899380000001</v>
      </c>
      <c r="R35" s="24">
        <f t="shared" si="25"/>
        <v>119.33199999999999</v>
      </c>
      <c r="S35" s="24">
        <f t="shared" si="26"/>
        <v>108.373</v>
      </c>
      <c r="T35" s="24">
        <f>SUM(final_electricity__1619242630313245[[#This Row],[ Building 1 (kWh)]]:final_electricity__1619242630313245[[#This Row],[Building 3 (kWh)]])</f>
        <v>227.9248589938</v>
      </c>
      <c r="U35" s="24">
        <f t="shared" si="27"/>
        <v>0</v>
      </c>
      <c r="V35" s="24">
        <f t="shared" si="28"/>
        <v>227.9248589938</v>
      </c>
      <c r="W35" s="24">
        <f>final_electricity__1619242630313245[[#This Row],[Community]]*'Conversion Technologies'!$E$2</f>
        <v>45.584971798760002</v>
      </c>
      <c r="X35" s="24">
        <f>final_electricity__1619242630313245[[#This Row],[Energy Grid]]*Tariffs!D6</f>
        <v>20.513237309442001</v>
      </c>
      <c r="Y35" s="24">
        <f>IF(SUM(Q35:S35) &lt; 0,-T35*Tariffs!E6, 0)</f>
        <v>0</v>
      </c>
    </row>
    <row r="36" spans="13:25" x14ac:dyDescent="0.35">
      <c r="M36" s="29"/>
      <c r="N36" s="24"/>
      <c r="O36" s="24"/>
      <c r="P36" s="29">
        <v>4</v>
      </c>
      <c r="Q36" s="24">
        <f t="shared" si="24"/>
        <v>0.24080941840000006</v>
      </c>
      <c r="R36" s="24">
        <f t="shared" si="25"/>
        <v>118.456</v>
      </c>
      <c r="S36" s="24">
        <f t="shared" si="26"/>
        <v>111.221</v>
      </c>
      <c r="T36" s="24">
        <f>SUM(final_electricity__1619242630313245[[#This Row],[ Building 1 (kWh)]]:final_electricity__1619242630313245[[#This Row],[Building 3 (kWh)]])</f>
        <v>229.9178094184</v>
      </c>
      <c r="U36" s="80">
        <f t="shared" si="27"/>
        <v>0</v>
      </c>
      <c r="V36" s="80">
        <f t="shared" si="28"/>
        <v>229.9178094184</v>
      </c>
      <c r="W36" s="80">
        <f>final_electricity__1619242630313245[[#This Row],[Community]]*'Conversion Technologies'!$E$2</f>
        <v>45.983561883680004</v>
      </c>
      <c r="X36" s="80">
        <f>final_electricity__1619242630313245[[#This Row],[Energy Grid]]*Tariffs!D7</f>
        <v>20.692602847655998</v>
      </c>
      <c r="Y36" s="80">
        <f>IF(SUM(Q36:S36) &lt; 0,-T36*Tariffs!E7, 0)</f>
        <v>0</v>
      </c>
    </row>
    <row r="37" spans="13:25" x14ac:dyDescent="0.35">
      <c r="M37" s="29"/>
      <c r="N37" s="24"/>
      <c r="O37" s="24"/>
      <c r="P37" s="29">
        <v>5</v>
      </c>
      <c r="Q37" s="24">
        <f t="shared" si="24"/>
        <v>0.26540972719999995</v>
      </c>
      <c r="R37" s="24">
        <f t="shared" si="25"/>
        <v>123.203</v>
      </c>
      <c r="S37" s="24">
        <f t="shared" si="26"/>
        <v>124.458</v>
      </c>
      <c r="T37" s="24">
        <f>SUM(final_electricity__1619242630313245[[#This Row],[ Building 1 (kWh)]]:final_electricity__1619242630313245[[#This Row],[Building 3 (kWh)]])</f>
        <v>247.9264097272</v>
      </c>
      <c r="U37" s="24">
        <f t="shared" si="27"/>
        <v>0</v>
      </c>
      <c r="V37" s="24">
        <f t="shared" si="28"/>
        <v>247.9264097272</v>
      </c>
      <c r="W37" s="24">
        <f>final_electricity__1619242630313245[[#This Row],[Community]]*'Conversion Technologies'!$E$2</f>
        <v>49.585281945440002</v>
      </c>
      <c r="X37" s="24">
        <f>final_electricity__1619242630313245[[#This Row],[Energy Grid]]*Tariffs!D8</f>
        <v>22.313376875448</v>
      </c>
      <c r="Y37" s="24">
        <f>IF(SUM(Q37:S37) &lt; 0,-T37*Tariffs!E8, 0)</f>
        <v>0</v>
      </c>
    </row>
    <row r="38" spans="13:25" x14ac:dyDescent="0.35">
      <c r="M38" s="29"/>
      <c r="N38" s="24"/>
      <c r="O38" s="24"/>
      <c r="P38" s="29">
        <v>6</v>
      </c>
      <c r="Q38" s="24">
        <f t="shared" si="24"/>
        <v>0.26401003599999995</v>
      </c>
      <c r="R38" s="24">
        <f t="shared" si="25"/>
        <v>128.864</v>
      </c>
      <c r="S38" s="24">
        <f t="shared" si="26"/>
        <v>135.33600000000001</v>
      </c>
      <c r="T38" s="24">
        <f>SUM(final_electricity__1619242630313245[[#This Row],[ Building 1 (kWh)]]:final_electricity__1619242630313245[[#This Row],[Building 3 (kWh)]])</f>
        <v>264.46401003599999</v>
      </c>
      <c r="U38" s="80">
        <f t="shared" si="27"/>
        <v>0</v>
      </c>
      <c r="V38" s="80">
        <f t="shared" si="28"/>
        <v>264.46401003599999</v>
      </c>
      <c r="W38" s="80">
        <f>final_electricity__1619242630313245[[#This Row],[Community]]*'Conversion Technologies'!$E$2</f>
        <v>52.892802007200004</v>
      </c>
      <c r="X38" s="80">
        <f>final_electricity__1619242630313245[[#This Row],[Energy Grid]]*Tariffs!D9</f>
        <v>30.334021951129198</v>
      </c>
      <c r="Y38" s="80">
        <f>IF(SUM(Q38:S38) &lt; 0,-T38*Tariffs!E9, 0)</f>
        <v>0</v>
      </c>
    </row>
    <row r="39" spans="13:25" x14ac:dyDescent="0.35">
      <c r="M39" s="29"/>
      <c r="N39" s="24"/>
      <c r="O39" s="24"/>
      <c r="P39" s="29">
        <v>7</v>
      </c>
      <c r="Q39" s="24">
        <f t="shared" si="24"/>
        <v>0.53633536409999993</v>
      </c>
      <c r="R39" s="24">
        <f t="shared" si="25"/>
        <v>156.93</v>
      </c>
      <c r="S39" s="24">
        <f t="shared" si="26"/>
        <v>205.28700000000001</v>
      </c>
      <c r="T39" s="24">
        <f>SUM(final_electricity__1619242630313245[[#This Row],[ Building 1 (kWh)]]:final_electricity__1619242630313245[[#This Row],[Building 3 (kWh)]])</f>
        <v>362.75333536410005</v>
      </c>
      <c r="U39" s="24">
        <f t="shared" si="27"/>
        <v>0</v>
      </c>
      <c r="V39" s="24">
        <f t="shared" si="28"/>
        <v>362.75333536410005</v>
      </c>
      <c r="W39" s="24">
        <f>final_electricity__1619242630313245[[#This Row],[Community]]*'Conversion Technologies'!$E$2</f>
        <v>72.550667072820019</v>
      </c>
      <c r="X39" s="24">
        <f>final_electricity__1619242630313245[[#This Row],[Energy Grid]]*Tariffs!D10</f>
        <v>56.915998318627302</v>
      </c>
      <c r="Y39" s="24">
        <f>IF(SUM(Q39:S39) &lt; 0,-T39*Tariffs!E10, 0)</f>
        <v>0</v>
      </c>
    </row>
    <row r="40" spans="13:25" x14ac:dyDescent="0.35">
      <c r="M40" s="29"/>
      <c r="N40" s="24"/>
      <c r="O40" s="24"/>
      <c r="P40" s="29">
        <v>8</v>
      </c>
      <c r="Q40" s="24">
        <f t="shared" si="24"/>
        <v>1.1153586078000002</v>
      </c>
      <c r="R40" s="24">
        <f t="shared" si="25"/>
        <v>213.28899999999999</v>
      </c>
      <c r="S40" s="24">
        <f t="shared" si="26"/>
        <v>276.12</v>
      </c>
      <c r="T40" s="24">
        <f>SUM(final_electricity__1619242630313245[[#This Row],[ Building 1 (kWh)]]:final_electricity__1619242630313245[[#This Row],[Building 3 (kWh)]])</f>
        <v>490.52435860779997</v>
      </c>
      <c r="U40" s="80">
        <f t="shared" si="27"/>
        <v>0</v>
      </c>
      <c r="V40" s="80">
        <f t="shared" si="28"/>
        <v>490.52435860779997</v>
      </c>
      <c r="W40" s="80">
        <f>final_electricity__1619242630313245[[#This Row],[Community]]*'Conversion Technologies'!$E$2</f>
        <v>98.104871721560002</v>
      </c>
      <c r="X40" s="80">
        <f>final_electricity__1619242630313245[[#This Row],[Energy Grid]]*Tariffs!D11</f>
        <v>76.963271865563826</v>
      </c>
      <c r="Y40" s="80">
        <f>IF(SUM(Q40:S40) &lt; 0,-T40*Tariffs!E11, 0)</f>
        <v>0</v>
      </c>
    </row>
    <row r="41" spans="13:25" x14ac:dyDescent="0.35">
      <c r="M41" s="29"/>
      <c r="N41" s="24"/>
      <c r="O41" s="24"/>
      <c r="P41" s="29">
        <v>9</v>
      </c>
      <c r="Q41" s="24">
        <f t="shared" si="24"/>
        <v>0.12067999999999998</v>
      </c>
      <c r="R41" s="24">
        <f t="shared" si="25"/>
        <v>264.0668</v>
      </c>
      <c r="S41" s="24">
        <f t="shared" si="26"/>
        <v>325.95299999999997</v>
      </c>
      <c r="T41" s="24">
        <f>SUM(final_electricity__1619242630313245[[#This Row],[ Building 1 (kWh)]]:final_electricity__1619242630313245[[#This Row],[Building 3 (kWh)]])</f>
        <v>590.14048000000003</v>
      </c>
      <c r="U41" s="24">
        <f t="shared" si="27"/>
        <v>0</v>
      </c>
      <c r="V41" s="24">
        <f t="shared" si="28"/>
        <v>590.14048000000003</v>
      </c>
      <c r="W41" s="24">
        <f>final_electricity__1619242630313245[[#This Row],[Community]]*'Conversion Technologies'!$E$2</f>
        <v>118.02809600000001</v>
      </c>
      <c r="X41" s="24">
        <f>final_electricity__1619242630313245[[#This Row],[Energy Grid]]*Tariffs!D12</f>
        <v>103.62866828800001</v>
      </c>
      <c r="Y41" s="24">
        <f>IF(SUM(Q41:S41) &lt; 0,-T41*Tariffs!E12, 0)</f>
        <v>0</v>
      </c>
    </row>
    <row r="42" spans="13:25" x14ac:dyDescent="0.35">
      <c r="M42" s="29"/>
      <c r="N42" s="24"/>
      <c r="O42" s="24"/>
      <c r="P42" s="29">
        <v>10</v>
      </c>
      <c r="Q42" s="24">
        <f t="shared" si="24"/>
        <v>0.20848</v>
      </c>
      <c r="R42" s="24">
        <f t="shared" si="25"/>
        <v>277.45080000000002</v>
      </c>
      <c r="S42" s="24">
        <f t="shared" si="26"/>
        <v>355.64859999999999</v>
      </c>
      <c r="T42" s="24">
        <f>SUM(final_electricity__1619242630313245[[#This Row],[ Building 1 (kWh)]]:final_electricity__1619242630313245[[#This Row],[Building 3 (kWh)]])</f>
        <v>633.30788000000007</v>
      </c>
      <c r="U42" s="80">
        <f t="shared" si="27"/>
        <v>0</v>
      </c>
      <c r="V42" s="80">
        <f t="shared" si="28"/>
        <v>633.30788000000007</v>
      </c>
      <c r="W42" s="80">
        <f>final_electricity__1619242630313245[[#This Row],[Community]]*'Conversion Technologies'!$E$2</f>
        <v>126.66157600000003</v>
      </c>
      <c r="X42" s="80">
        <f>final_electricity__1619242630313245[[#This Row],[Energy Grid]]*Tariffs!D13</f>
        <v>111.20886372800001</v>
      </c>
      <c r="Y42" s="80">
        <f>IF(SUM(Q42:S42) &lt; 0,-T42*Tariffs!E13, 0)</f>
        <v>0</v>
      </c>
    </row>
    <row r="43" spans="13:25" x14ac:dyDescent="0.35">
      <c r="M43" s="29"/>
      <c r="N43" s="24"/>
      <c r="O43" s="24"/>
      <c r="P43" s="29">
        <v>11</v>
      </c>
      <c r="Q43" s="24">
        <f t="shared" si="24"/>
        <v>8.9999999999998415E-4</v>
      </c>
      <c r="R43" s="24">
        <f t="shared" si="25"/>
        <v>289.33600000000001</v>
      </c>
      <c r="S43" s="24">
        <f t="shared" si="26"/>
        <v>390.81599999999997</v>
      </c>
      <c r="T43" s="24">
        <f>SUM(final_electricity__1619242630313245[[#This Row],[ Building 1 (kWh)]]:final_electricity__1619242630313245[[#This Row],[Building 3 (kWh)]])</f>
        <v>680.15290000000005</v>
      </c>
      <c r="U43" s="24">
        <f t="shared" si="27"/>
        <v>0</v>
      </c>
      <c r="V43" s="24">
        <f t="shared" si="28"/>
        <v>680.15290000000005</v>
      </c>
      <c r="W43" s="24">
        <f>final_electricity__1619242630313245[[#This Row],[Community]]*'Conversion Technologies'!$E$2</f>
        <v>136.03058000000001</v>
      </c>
      <c r="X43" s="24">
        <f>final_electricity__1619242630313245[[#This Row],[Energy Grid]]*Tariffs!D14</f>
        <v>119.43484924000001</v>
      </c>
      <c r="Y43" s="24">
        <f>IF(SUM(Q43:S43) &lt; 0,-T43*Tariffs!E14, 0)</f>
        <v>0</v>
      </c>
    </row>
    <row r="44" spans="13:25" x14ac:dyDescent="0.35">
      <c r="M44" s="29"/>
      <c r="N44" s="24"/>
      <c r="O44" s="24"/>
      <c r="P44" s="29">
        <v>12</v>
      </c>
      <c r="Q44" s="24">
        <f t="shared" si="24"/>
        <v>-8.7120000000000003E-2</v>
      </c>
      <c r="R44" s="24">
        <f t="shared" si="25"/>
        <v>276.68380000000002</v>
      </c>
      <c r="S44" s="24">
        <f t="shared" si="26"/>
        <v>397.11160000000001</v>
      </c>
      <c r="T44" s="24">
        <f>SUM(final_electricity__1619242630313245[[#This Row],[ Building 1 (kWh)]]:final_electricity__1619242630313245[[#This Row],[Building 3 (kWh)]])</f>
        <v>673.70828000000006</v>
      </c>
      <c r="U44" s="80">
        <f t="shared" si="27"/>
        <v>0</v>
      </c>
      <c r="V44" s="80">
        <f t="shared" si="28"/>
        <v>673.70828000000006</v>
      </c>
      <c r="W44" s="80">
        <f>final_electricity__1619242630313245[[#This Row],[Community]]*'Conversion Technologies'!$E$2</f>
        <v>134.74165600000001</v>
      </c>
      <c r="X44" s="80">
        <f>final_electricity__1619242630313245[[#This Row],[Energy Grid]]*Tariffs!D15</f>
        <v>105.70482913200001</v>
      </c>
      <c r="Y44" s="80">
        <f>IF(SUM(Q44:S44) &lt; 0,-T44*Tariffs!E15, 0)</f>
        <v>0</v>
      </c>
    </row>
    <row r="45" spans="13:25" x14ac:dyDescent="0.35">
      <c r="M45" s="29"/>
      <c r="N45" s="24"/>
      <c r="O45" s="24"/>
      <c r="P45" s="29">
        <v>13</v>
      </c>
      <c r="Q45" s="24">
        <f t="shared" si="24"/>
        <v>-0.13073000000000001</v>
      </c>
      <c r="R45" s="24">
        <f t="shared" si="25"/>
        <v>296.0487</v>
      </c>
      <c r="S45" s="24">
        <f t="shared" si="26"/>
        <v>367.75439999999998</v>
      </c>
      <c r="T45" s="24">
        <f>SUM(final_electricity__1619242630313245[[#This Row],[ Building 1 (kWh)]]:final_electricity__1619242630313245[[#This Row],[Building 3 (kWh)]])</f>
        <v>663.67237</v>
      </c>
      <c r="U45" s="24">
        <f t="shared" si="27"/>
        <v>0</v>
      </c>
      <c r="V45" s="24">
        <f t="shared" si="28"/>
        <v>663.67237</v>
      </c>
      <c r="W45" s="24">
        <f>final_electricity__1619242630313245[[#This Row],[Community]]*'Conversion Technologies'!$E$2</f>
        <v>132.73447400000001</v>
      </c>
      <c r="X45" s="24">
        <f>final_electricity__1619242630313245[[#This Row],[Energy Grid]]*Tariffs!D16</f>
        <v>104.13019485300001</v>
      </c>
      <c r="Y45" s="24">
        <f>IF(SUM(Q45:S45) &lt; 0,-T45*Tariffs!E16, 0)</f>
        <v>0</v>
      </c>
    </row>
    <row r="46" spans="13:25" x14ac:dyDescent="0.35">
      <c r="M46" s="29"/>
      <c r="N46" s="24"/>
      <c r="O46" s="24"/>
      <c r="P46" s="29">
        <v>14</v>
      </c>
      <c r="Q46" s="24">
        <f t="shared" si="24"/>
        <v>-2.1370000000000028E-2</v>
      </c>
      <c r="R46" s="24">
        <f t="shared" si="25"/>
        <v>320.85129999999998</v>
      </c>
      <c r="S46" s="24">
        <f t="shared" si="26"/>
        <v>353.7056</v>
      </c>
      <c r="T46" s="24">
        <f>SUM(final_electricity__1619242630313245[[#This Row],[ Building 1 (kWh)]]:final_electricity__1619242630313245[[#This Row],[Building 3 (kWh)]])</f>
        <v>674.53552999999999</v>
      </c>
      <c r="U46" s="80">
        <f t="shared" si="27"/>
        <v>0</v>
      </c>
      <c r="V46" s="80">
        <f t="shared" si="28"/>
        <v>674.53552999999999</v>
      </c>
      <c r="W46" s="80">
        <f>final_electricity__1619242630313245[[#This Row],[Community]]*'Conversion Technologies'!$E$2</f>
        <v>134.907106</v>
      </c>
      <c r="X46" s="80">
        <f>final_electricity__1619242630313245[[#This Row],[Energy Grid]]*Tariffs!D17</f>
        <v>105.83462465700001</v>
      </c>
      <c r="Y46" s="80">
        <f>IF(SUM(Q46:S46) &lt; 0,-T46*Tariffs!E17, 0)</f>
        <v>0</v>
      </c>
    </row>
    <row r="47" spans="13:25" x14ac:dyDescent="0.35">
      <c r="M47" s="29"/>
      <c r="N47" s="24"/>
      <c r="O47" s="24"/>
      <c r="P47" s="29">
        <v>15</v>
      </c>
      <c r="Q47" s="24">
        <f t="shared" si="24"/>
        <v>3.2360000000000028E-2</v>
      </c>
      <c r="R47" s="24">
        <f t="shared" si="25"/>
        <v>323.82260000000002</v>
      </c>
      <c r="S47" s="24">
        <f t="shared" si="26"/>
        <v>363.20519999999999</v>
      </c>
      <c r="T47" s="24">
        <f>SUM(final_electricity__1619242630313245[[#This Row],[ Building 1 (kWh)]]:final_electricity__1619242630313245[[#This Row],[Building 3 (kWh)]])</f>
        <v>687.06016</v>
      </c>
      <c r="U47" s="24">
        <f t="shared" si="27"/>
        <v>0</v>
      </c>
      <c r="V47" s="24">
        <f t="shared" si="28"/>
        <v>687.06016</v>
      </c>
      <c r="W47" s="24">
        <f>final_electricity__1619242630313245[[#This Row],[Community]]*'Conversion Technologies'!$E$2</f>
        <v>137.41203200000001</v>
      </c>
      <c r="X47" s="24">
        <f>final_electricity__1619242630313245[[#This Row],[Energy Grid]]*Tariffs!D18</f>
        <v>107.79973910400001</v>
      </c>
      <c r="Y47" s="24">
        <f>IF(SUM(Q47:S47) &lt; 0,-T47*Tariffs!E18, 0)</f>
        <v>0</v>
      </c>
    </row>
    <row r="48" spans="13:25" x14ac:dyDescent="0.35">
      <c r="M48" s="29"/>
      <c r="N48" s="24"/>
      <c r="O48" s="24"/>
      <c r="P48" s="29">
        <v>16</v>
      </c>
      <c r="Q48" s="24">
        <f t="shared" si="24"/>
        <v>-2.0730000000000026E-2</v>
      </c>
      <c r="R48" s="24">
        <f t="shared" si="25"/>
        <v>304.12369999999999</v>
      </c>
      <c r="S48" s="24">
        <f t="shared" si="26"/>
        <v>353.16540000000003</v>
      </c>
      <c r="T48" s="24">
        <f>SUM(final_electricity__1619242630313245[[#This Row],[ Building 1 (kWh)]]:final_electricity__1619242630313245[[#This Row],[Building 3 (kWh)]])</f>
        <v>657.26837</v>
      </c>
      <c r="U48" s="80">
        <f t="shared" si="27"/>
        <v>0</v>
      </c>
      <c r="V48" s="80">
        <f t="shared" si="28"/>
        <v>657.26837</v>
      </c>
      <c r="W48" s="80">
        <f>final_electricity__1619242630313245[[#This Row],[Community]]*'Conversion Technologies'!$E$2</f>
        <v>131.45367400000001</v>
      </c>
      <c r="X48" s="80">
        <f>final_electricity__1619242630313245[[#This Row],[Energy Grid]]*Tariffs!D19</f>
        <v>103.12540725300001</v>
      </c>
      <c r="Y48" s="80">
        <f>IF(SUM(Q48:S48) &lt; 0,-T48*Tariffs!E19, 0)</f>
        <v>0</v>
      </c>
    </row>
    <row r="49" spans="13:25" x14ac:dyDescent="0.35">
      <c r="M49" s="29"/>
      <c r="N49" s="24"/>
      <c r="O49" s="24"/>
      <c r="P49" s="29">
        <v>17</v>
      </c>
      <c r="Q49" s="24">
        <f t="shared" si="24"/>
        <v>0.10862999999999998</v>
      </c>
      <c r="R49" s="24">
        <f t="shared" si="25"/>
        <v>270.27429999999998</v>
      </c>
      <c r="S49" s="24">
        <f t="shared" si="26"/>
        <v>327.04059999999998</v>
      </c>
      <c r="T49" s="24">
        <f>SUM(final_electricity__1619242630313245[[#This Row],[ Building 1 (kWh)]]:final_electricity__1619242630313245[[#This Row],[Building 3 (kWh)]])</f>
        <v>597.42353000000003</v>
      </c>
      <c r="U49" s="24">
        <f t="shared" si="27"/>
        <v>0</v>
      </c>
      <c r="V49" s="24">
        <f t="shared" si="28"/>
        <v>597.42353000000003</v>
      </c>
      <c r="W49" s="24">
        <f>final_electricity__1619242630313245[[#This Row],[Community]]*'Conversion Technologies'!$E$2</f>
        <v>119.48470600000002</v>
      </c>
      <c r="X49" s="24">
        <f>final_electricity__1619242630313245[[#This Row],[Energy Grid]]*Tariffs!D20</f>
        <v>93.735751857000011</v>
      </c>
      <c r="Y49" s="24">
        <f>IF(SUM(Q49:S49) &lt; 0,-T49*Tariffs!E20, 0)</f>
        <v>0</v>
      </c>
    </row>
    <row r="50" spans="13:25" x14ac:dyDescent="0.35">
      <c r="M50" s="29"/>
      <c r="N50" s="24"/>
      <c r="O50" s="24"/>
      <c r="P50" s="29">
        <v>18</v>
      </c>
      <c r="Q50" s="24">
        <f t="shared" si="24"/>
        <v>0.14988999999999997</v>
      </c>
      <c r="R50" s="24">
        <f t="shared" si="25"/>
        <v>223.88990000000001</v>
      </c>
      <c r="S50" s="24">
        <f t="shared" si="26"/>
        <v>279.55380000000002</v>
      </c>
      <c r="T50" s="24">
        <f>SUM(final_electricity__1619242630313245[[#This Row],[ Building 1 (kWh)]]:final_electricity__1619242630313245[[#This Row],[Building 3 (kWh)]])</f>
        <v>503.59359000000006</v>
      </c>
      <c r="U50" s="80">
        <f t="shared" si="27"/>
        <v>0</v>
      </c>
      <c r="V50" s="80">
        <f t="shared" si="28"/>
        <v>503.59359000000006</v>
      </c>
      <c r="W50" s="80">
        <f>final_electricity__1619242630313245[[#This Row],[Community]]*'Conversion Technologies'!$E$2</f>
        <v>100.71871800000002</v>
      </c>
      <c r="X50" s="80">
        <f>final_electricity__1619242630313245[[#This Row],[Energy Grid]]*Tariffs!D21</f>
        <v>79.013834271000022</v>
      </c>
      <c r="Y50" s="80">
        <f>IF(SUM(Q50:S50) &lt; 0,-T50*Tariffs!E21, 0)</f>
        <v>0</v>
      </c>
    </row>
    <row r="51" spans="13:25" x14ac:dyDescent="0.35">
      <c r="M51" s="29"/>
      <c r="N51" s="24"/>
      <c r="O51" s="24"/>
      <c r="P51" s="29">
        <v>19</v>
      </c>
      <c r="Q51" s="24">
        <f t="shared" si="24"/>
        <v>0.154</v>
      </c>
      <c r="R51" s="24">
        <f t="shared" si="25"/>
        <v>200.375</v>
      </c>
      <c r="S51" s="24">
        <f t="shared" si="26"/>
        <v>220.05699999999999</v>
      </c>
      <c r="T51" s="24">
        <f>SUM(final_electricity__1619242630313245[[#This Row],[ Building 1 (kWh)]]:final_electricity__1619242630313245[[#This Row],[Building 3 (kWh)]])</f>
        <v>420.58600000000001</v>
      </c>
      <c r="U51" s="24">
        <f t="shared" si="27"/>
        <v>0</v>
      </c>
      <c r="V51" s="24">
        <f t="shared" si="28"/>
        <v>420.58600000000001</v>
      </c>
      <c r="W51" s="24">
        <f>final_electricity__1619242630313245[[#This Row],[Community]]*'Conversion Technologies'!$E$2</f>
        <v>84.117200000000011</v>
      </c>
      <c r="X51" s="24">
        <f>final_electricity__1619242630313245[[#This Row],[Energy Grid]]*Tariffs!D22</f>
        <v>73.854901600000005</v>
      </c>
      <c r="Y51" s="24">
        <f>IF(SUM(Q51:S51) &lt; 0,-T51*Tariffs!E22, 0)</f>
        <v>0</v>
      </c>
    </row>
    <row r="52" spans="13:25" x14ac:dyDescent="0.35">
      <c r="M52" s="29"/>
      <c r="N52" s="24"/>
      <c r="O52" s="24"/>
      <c r="P52" s="29">
        <v>20</v>
      </c>
      <c r="Q52" s="24">
        <f t="shared" si="24"/>
        <v>0.65300000000000002</v>
      </c>
      <c r="R52" s="24">
        <f t="shared" si="25"/>
        <v>163.98</v>
      </c>
      <c r="S52" s="24">
        <f t="shared" si="26"/>
        <v>178.715</v>
      </c>
      <c r="T52" s="24">
        <f>SUM(final_electricity__1619242630313245[[#This Row],[ Building 1 (kWh)]]:final_electricity__1619242630313245[[#This Row],[Building 3 (kWh)]])</f>
        <v>343.34799999999996</v>
      </c>
      <c r="U52" s="80">
        <f t="shared" si="27"/>
        <v>0</v>
      </c>
      <c r="V52" s="80">
        <f t="shared" si="28"/>
        <v>343.34799999999996</v>
      </c>
      <c r="W52" s="80">
        <f>final_electricity__1619242630313245[[#This Row],[Community]]*'Conversion Technologies'!$E$2</f>
        <v>68.669599999999988</v>
      </c>
      <c r="X52" s="80">
        <f>final_electricity__1619242630313245[[#This Row],[Energy Grid]]*Tariffs!D23</f>
        <v>60.291908799999995</v>
      </c>
      <c r="Y52" s="80">
        <f>IF(SUM(Q52:S52) &lt; 0,-T52*Tariffs!E23, 0)</f>
        <v>0</v>
      </c>
    </row>
    <row r="53" spans="13:25" x14ac:dyDescent="0.35">
      <c r="M53" s="29"/>
      <c r="N53" s="24"/>
      <c r="O53" s="24"/>
      <c r="P53" s="29">
        <v>21</v>
      </c>
      <c r="Q53" s="24">
        <f t="shared" si="24"/>
        <v>1.663</v>
      </c>
      <c r="R53" s="24">
        <f t="shared" si="25"/>
        <v>148.77500000000001</v>
      </c>
      <c r="S53" s="24">
        <f t="shared" si="26"/>
        <v>153.333</v>
      </c>
      <c r="T53" s="24">
        <f>SUM(final_electricity__1619242630313245[[#This Row],[ Building 1 (kWh)]]:final_electricity__1619242630313245[[#This Row],[Building 3 (kWh)]])</f>
        <v>303.77100000000002</v>
      </c>
      <c r="U53" s="24">
        <f t="shared" si="27"/>
        <v>0</v>
      </c>
      <c r="V53" s="24">
        <f t="shared" si="28"/>
        <v>303.77100000000002</v>
      </c>
      <c r="W53" s="24">
        <f>final_electricity__1619242630313245[[#This Row],[Community]]*'Conversion Technologies'!$E$2</f>
        <v>60.754200000000004</v>
      </c>
      <c r="X53" s="24">
        <f>final_electricity__1619242630313245[[#This Row],[Energy Grid]]*Tariffs!D24</f>
        <v>47.661669900000007</v>
      </c>
      <c r="Y53" s="24">
        <f>IF(SUM(Q53:S53) &lt; 0,-T53*Tariffs!E24, 0)</f>
        <v>0</v>
      </c>
    </row>
    <row r="54" spans="13:25" x14ac:dyDescent="0.35">
      <c r="M54" s="29"/>
      <c r="N54" s="24"/>
      <c r="O54" s="24"/>
      <c r="P54" s="29">
        <v>22</v>
      </c>
      <c r="Q54" s="24">
        <f t="shared" si="24"/>
        <v>0.755</v>
      </c>
      <c r="R54" s="24">
        <f t="shared" si="25"/>
        <v>128.393</v>
      </c>
      <c r="S54" s="24">
        <f t="shared" si="26"/>
        <v>138.67599999999999</v>
      </c>
      <c r="T54" s="24">
        <f>SUM(final_electricity__1619242630313245[[#This Row],[ Building 1 (kWh)]]:final_electricity__1619242630313245[[#This Row],[Building 3 (kWh)]])</f>
        <v>267.82399999999996</v>
      </c>
      <c r="U54" s="80">
        <f t="shared" si="27"/>
        <v>0</v>
      </c>
      <c r="V54" s="80">
        <f t="shared" si="28"/>
        <v>267.82399999999996</v>
      </c>
      <c r="W54" s="80">
        <f>final_electricity__1619242630313245[[#This Row],[Community]]*'Conversion Technologies'!$E$2</f>
        <v>53.564799999999991</v>
      </c>
      <c r="X54" s="80">
        <f>final_electricity__1619242630313245[[#This Row],[Energy Grid]]*Tariffs!D25</f>
        <v>42.021585599999995</v>
      </c>
      <c r="Y54" s="80">
        <f>IF(SUM(Q54:S54) &lt; 0,-T54*Tariffs!E25, 0)</f>
        <v>0</v>
      </c>
    </row>
    <row r="55" spans="13:25" x14ac:dyDescent="0.35">
      <c r="M55" s="29"/>
      <c r="N55" s="24"/>
      <c r="O55" s="24"/>
      <c r="P55" s="29">
        <v>23</v>
      </c>
      <c r="Q55" s="24">
        <f t="shared" si="24"/>
        <v>0.44400000000000001</v>
      </c>
      <c r="R55" s="24">
        <f t="shared" si="25"/>
        <v>121.883</v>
      </c>
      <c r="S55" s="24">
        <f t="shared" si="26"/>
        <v>135.27199999999999</v>
      </c>
      <c r="T55" s="24">
        <f>SUM(final_electricity__1619242630313245[[#This Row],[ Building 1 (kWh)]]:final_electricity__1619242630313245[[#This Row],[Building 3 (kWh)]])</f>
        <v>257.59899999999999</v>
      </c>
      <c r="U55" s="24">
        <f t="shared" si="27"/>
        <v>0</v>
      </c>
      <c r="V55" s="24">
        <f t="shared" si="28"/>
        <v>257.59899999999999</v>
      </c>
      <c r="W55" s="24">
        <f>final_electricity__1619242630313245[[#This Row],[Community]]*'Conversion Technologies'!$E$2</f>
        <v>51.519800000000004</v>
      </c>
      <c r="X55" s="24">
        <f>final_electricity__1619242630313245[[#This Row],[Energy Grid]]*Tariffs!D26</f>
        <v>40.417283099999999</v>
      </c>
      <c r="Y55" s="24">
        <f>IF(SUM(Q55:S55) &lt; 0,-T55*Tariffs!E26, 0)</f>
        <v>0</v>
      </c>
    </row>
    <row r="56" spans="13:25" x14ac:dyDescent="0.35">
      <c r="M56" s="29"/>
      <c r="N56" s="24"/>
      <c r="O56" s="24"/>
      <c r="P56" s="30" t="s">
        <v>165</v>
      </c>
      <c r="Q56" s="24">
        <f>SUM(Q32:Q55)</f>
        <v>24.128311621047871</v>
      </c>
      <c r="R56" s="24">
        <f t="shared" ref="R56:T56" si="29">SUM(R32:R55)</f>
        <v>4842.9388999999992</v>
      </c>
      <c r="S56" s="24">
        <f t="shared" si="29"/>
        <v>5656.0891999999994</v>
      </c>
      <c r="T56" s="24">
        <f t="shared" si="29"/>
        <v>10523.15641162105</v>
      </c>
      <c r="U56" s="80">
        <f t="shared" si="27"/>
        <v>0</v>
      </c>
      <c r="V56" s="81">
        <f>SUM(V32:V55)</f>
        <v>10523.15641162105</v>
      </c>
      <c r="W56" s="81">
        <f>SUM(W32:W55)</f>
        <v>2104.6312823242101</v>
      </c>
      <c r="X56" s="81">
        <f>SUM(X32:X55)</f>
        <v>1604.9846164740527</v>
      </c>
      <c r="Y56" s="81">
        <f>SUM(Y32:Y55)</f>
        <v>0</v>
      </c>
    </row>
    <row r="57" spans="13:25" x14ac:dyDescent="0.35">
      <c r="M57" s="29"/>
      <c r="N57" s="24"/>
      <c r="O57" s="24"/>
      <c r="P57" s="24"/>
      <c r="Q57" s="24"/>
    </row>
    <row r="58" spans="13:25" x14ac:dyDescent="0.35">
      <c r="M58" s="30"/>
      <c r="N58" s="24"/>
      <c r="O58" s="24"/>
      <c r="P58" s="24"/>
      <c r="Q58" s="24"/>
    </row>
    <row r="60" spans="13:25" x14ac:dyDescent="0.35">
      <c r="Q60" s="23"/>
    </row>
  </sheetData>
  <mergeCells count="10">
    <mergeCell ref="AH1:AK1"/>
    <mergeCell ref="AM1:AP1"/>
    <mergeCell ref="U30:Y30"/>
    <mergeCell ref="P30:T30"/>
    <mergeCell ref="A1:E1"/>
    <mergeCell ref="G1:K1"/>
    <mergeCell ref="R1:U1"/>
    <mergeCell ref="M1:P1"/>
    <mergeCell ref="W1:Z1"/>
    <mergeCell ref="AB1:AF1"/>
  </mergeCells>
  <pageMargins left="0.7" right="0.7" top="0.75" bottom="0.75" header="0.3" footer="0.3"/>
  <ignoredErrors>
    <ignoredError sqref="E3:E27 K3:K27 AF3:AF27 T32:T56 W32:W56 X32:X55 Y32:Y56" calculatedColumn="1"/>
  </ignoredErrors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9E261-9A08-4922-89AE-F3EF01044B30}">
  <sheetPr codeName="Sheet9"/>
  <dimension ref="A1:BE59"/>
  <sheetViews>
    <sheetView zoomScale="60" zoomScaleNormal="60" workbookViewId="0">
      <selection activeCell="K36" sqref="K36"/>
    </sheetView>
  </sheetViews>
  <sheetFormatPr defaultRowHeight="14.5" x14ac:dyDescent="0.35"/>
  <cols>
    <col min="1" max="1" width="11.26953125" customWidth="1"/>
    <col min="2" max="2" width="19.6328125" customWidth="1"/>
    <col min="3" max="3" width="19" customWidth="1"/>
    <col min="4" max="4" width="19.7265625" customWidth="1"/>
    <col min="5" max="5" width="17.54296875" customWidth="1"/>
    <col min="7" max="7" width="10.7265625" customWidth="1"/>
    <col min="8" max="8" width="20.7265625" customWidth="1"/>
    <col min="9" max="9" width="19.36328125" customWidth="1"/>
    <col min="10" max="10" width="25.08984375" customWidth="1"/>
    <col min="11" max="11" width="16.453125" customWidth="1"/>
    <col min="13" max="13" width="11.26953125" customWidth="1"/>
    <col min="14" max="14" width="24.90625" customWidth="1"/>
    <col min="15" max="15" width="14.26953125" customWidth="1"/>
    <col min="16" max="16" width="18.54296875" customWidth="1"/>
    <col min="17" max="17" width="16.453125" customWidth="1"/>
    <col min="18" max="20" width="21.90625" customWidth="1"/>
    <col min="21" max="21" width="19.7265625" customWidth="1"/>
    <col min="22" max="22" width="20.54296875" customWidth="1"/>
    <col min="23" max="23" width="19.453125" customWidth="1"/>
    <col min="24" max="24" width="20.453125" customWidth="1"/>
    <col min="25" max="25" width="20.81640625" customWidth="1"/>
    <col min="26" max="26" width="21.453125" customWidth="1"/>
    <col min="27" max="27" width="20.1796875" customWidth="1"/>
    <col min="28" max="28" width="19.90625" customWidth="1"/>
    <col min="29" max="29" width="19.54296875" customWidth="1"/>
    <col min="30" max="30" width="19.1796875" customWidth="1"/>
    <col min="31" max="31" width="16.26953125" customWidth="1"/>
    <col min="32" max="32" width="20.26953125" customWidth="1"/>
    <col min="33" max="33" width="21.7265625" customWidth="1"/>
    <col min="34" max="34" width="24.90625" customWidth="1"/>
    <col min="35" max="35" width="22" customWidth="1"/>
    <col min="36" max="36" width="14.81640625" customWidth="1"/>
    <col min="37" max="37" width="9.90625" customWidth="1"/>
    <col min="38" max="38" width="21.81640625" customWidth="1"/>
    <col min="39" max="39" width="20.36328125" customWidth="1"/>
    <col min="40" max="40" width="20.6328125" customWidth="1"/>
    <col min="41" max="41" width="20" customWidth="1"/>
    <col min="42" max="42" width="19.6328125" customWidth="1"/>
    <col min="43" max="43" width="20.08984375" customWidth="1"/>
    <col min="44" max="44" width="22.81640625" customWidth="1"/>
    <col min="45" max="45" width="19.7265625" customWidth="1"/>
    <col min="46" max="46" width="19.6328125" customWidth="1"/>
    <col min="47" max="47" width="20.1796875" customWidth="1"/>
    <col min="48" max="48" width="20.6328125" customWidth="1"/>
    <col min="49" max="49" width="19.26953125" customWidth="1"/>
    <col min="50" max="50" width="15.54296875" customWidth="1"/>
    <col min="52" max="52" width="11" customWidth="1"/>
    <col min="53" max="53" width="20" customWidth="1"/>
    <col min="54" max="54" width="19.6328125" customWidth="1"/>
    <col min="55" max="55" width="18.90625" customWidth="1"/>
    <col min="56" max="56" width="16" customWidth="1"/>
  </cols>
  <sheetData>
    <row r="1" spans="1:57" ht="18.5" x14ac:dyDescent="0.45">
      <c r="A1" s="106" t="s">
        <v>174</v>
      </c>
      <c r="B1" s="106"/>
      <c r="C1" s="106"/>
      <c r="D1" s="106"/>
      <c r="E1" s="106"/>
      <c r="G1" s="106" t="s">
        <v>175</v>
      </c>
      <c r="H1" s="106"/>
      <c r="I1" s="106"/>
      <c r="J1" s="106"/>
      <c r="K1" s="106"/>
      <c r="M1" s="106" t="s">
        <v>211</v>
      </c>
      <c r="N1" s="106"/>
      <c r="O1" s="106"/>
      <c r="P1" s="31"/>
      <c r="Q1" s="106" t="s">
        <v>221</v>
      </c>
      <c r="R1" s="106"/>
      <c r="S1" s="106"/>
      <c r="T1" s="106"/>
      <c r="U1" s="31"/>
      <c r="V1" s="106" t="s">
        <v>181</v>
      </c>
      <c r="W1" s="106"/>
      <c r="X1" s="106"/>
      <c r="Y1" s="106"/>
      <c r="Z1" s="31"/>
      <c r="AA1" s="106" t="s">
        <v>182</v>
      </c>
      <c r="AB1" s="106"/>
      <c r="AC1" s="106"/>
      <c r="AD1" s="106"/>
      <c r="AE1" s="31"/>
      <c r="AF1" s="106" t="s">
        <v>183</v>
      </c>
      <c r="AG1" s="106"/>
      <c r="AH1" s="106"/>
      <c r="AI1" s="106"/>
      <c r="AJ1" s="31"/>
      <c r="AK1" s="106" t="s">
        <v>203</v>
      </c>
      <c r="AL1" s="106"/>
      <c r="AM1" s="31"/>
      <c r="AN1" s="106" t="s">
        <v>184</v>
      </c>
      <c r="AO1" s="106"/>
      <c r="AP1" s="106"/>
      <c r="AQ1" s="106"/>
      <c r="AR1" s="31"/>
      <c r="AS1" s="106" t="s">
        <v>185</v>
      </c>
      <c r="AT1" s="106"/>
      <c r="AU1" s="106"/>
      <c r="AV1" s="106"/>
      <c r="AW1" s="31"/>
      <c r="AX1" s="31"/>
      <c r="AY1" s="31"/>
      <c r="AZ1" s="31"/>
      <c r="BA1" s="31"/>
      <c r="BB1" s="31"/>
      <c r="BC1" s="31"/>
      <c r="BD1" s="31"/>
      <c r="BE1" s="31"/>
    </row>
    <row r="2" spans="1:57" x14ac:dyDescent="0.35">
      <c r="A2" s="24" t="s">
        <v>3</v>
      </c>
      <c r="B2" s="24" t="s">
        <v>79</v>
      </c>
      <c r="C2" s="24" t="s">
        <v>80</v>
      </c>
      <c r="D2" s="24" t="s">
        <v>0</v>
      </c>
      <c r="E2" s="24" t="s">
        <v>8</v>
      </c>
      <c r="G2" s="24" t="s">
        <v>3</v>
      </c>
      <c r="H2" s="24" t="s">
        <v>79</v>
      </c>
      <c r="I2" s="24" t="s">
        <v>80</v>
      </c>
      <c r="J2" s="24" t="s">
        <v>0</v>
      </c>
      <c r="K2" s="24" t="s">
        <v>8</v>
      </c>
      <c r="M2" s="24" t="s">
        <v>3</v>
      </c>
      <c r="N2" s="24" t="s">
        <v>195</v>
      </c>
      <c r="O2" s="24" t="s">
        <v>21</v>
      </c>
      <c r="Q2" s="24" t="s">
        <v>3</v>
      </c>
      <c r="R2" s="24" t="s">
        <v>79</v>
      </c>
      <c r="S2" s="24" t="s">
        <v>217</v>
      </c>
      <c r="T2" s="24" t="s">
        <v>218</v>
      </c>
      <c r="V2" s="24" t="s">
        <v>3</v>
      </c>
      <c r="W2" s="24" t="s">
        <v>79</v>
      </c>
      <c r="X2" s="24" t="s">
        <v>80</v>
      </c>
      <c r="Y2" s="24" t="s">
        <v>0</v>
      </c>
      <c r="AA2" s="24" t="s">
        <v>3</v>
      </c>
      <c r="AB2" s="24" t="s">
        <v>79</v>
      </c>
      <c r="AC2" s="24" t="s">
        <v>80</v>
      </c>
      <c r="AD2" s="24" t="s">
        <v>0</v>
      </c>
      <c r="AF2" s="24" t="s">
        <v>3</v>
      </c>
      <c r="AG2" s="24" t="s">
        <v>79</v>
      </c>
      <c r="AH2" s="24" t="s">
        <v>80</v>
      </c>
      <c r="AI2" s="24" t="s">
        <v>0</v>
      </c>
      <c r="AJ2" s="24"/>
      <c r="AK2" s="24" t="s">
        <v>3</v>
      </c>
      <c r="AL2" s="24" t="s">
        <v>204</v>
      </c>
      <c r="AN2" s="24" t="s">
        <v>3</v>
      </c>
      <c r="AO2" s="24" t="s">
        <v>79</v>
      </c>
      <c r="AP2" s="24" t="s">
        <v>80</v>
      </c>
      <c r="AQ2" s="24" t="s">
        <v>0</v>
      </c>
      <c r="AS2" s="24" t="s">
        <v>3</v>
      </c>
      <c r="AT2" s="24" t="s">
        <v>79</v>
      </c>
      <c r="AU2" s="24" t="s">
        <v>80</v>
      </c>
      <c r="AV2" s="24" t="s">
        <v>0</v>
      </c>
    </row>
    <row r="3" spans="1:57" x14ac:dyDescent="0.35">
      <c r="A3" s="29">
        <v>0</v>
      </c>
      <c r="B3" s="24">
        <f>final_electricity__161924[[#This Row],[ Building 1 (kWh)]]+final_electricity__16192425[[#This Row],[Total]]</f>
        <v>2.2950851974523809</v>
      </c>
      <c r="C3" s="24">
        <f>final_electricity__161924[[#This Row],[Building 2 (kWh)]]</f>
        <v>126.105</v>
      </c>
      <c r="D3" s="24">
        <f>final_electricity__161924[[#This Row],[Building 3 (kWh)]]</f>
        <v>122.83199999999999</v>
      </c>
      <c r="E3" s="24">
        <f>SUM(final_electricity__161924263039[[#This Row],[ Building 1 (kWh)]]:final_electricity__161924263039[[#This Row],[Building 3 (kWh)]])</f>
        <v>251.23208519745239</v>
      </c>
      <c r="G3" s="29">
        <v>0</v>
      </c>
      <c r="H3" s="24">
        <f>final_electricity__118[[#This Row],[Generation]]/1000*('Conversion Technologies'!$I$11/('Conversion Technologies'!$I$2/1000))</f>
        <v>0</v>
      </c>
      <c r="I3" s="24">
        <f>('Conversion Technologies'!$I$12/'Conversion Technologies'!$I$11)*H3</f>
        <v>0</v>
      </c>
      <c r="J3" s="24">
        <f>('Conversion Technologies'!$I$13/'Conversion Technologies'!$I$11)*H3</f>
        <v>0</v>
      </c>
      <c r="K3" s="24">
        <f>SUM(final_electricity__16192426303140[[#This Row],[ Building 1 (kWh)]]:final_electricity__16192426303140[[#This Row],[Building 3 (kWh)]])</f>
        <v>0</v>
      </c>
      <c r="M3" s="29">
        <v>0</v>
      </c>
      <c r="N3" s="32">
        <f>IF(H3&gt;B3,H3-B3,0)</f>
        <v>0</v>
      </c>
      <c r="O3" s="36">
        <f>SUM($N$3:N3)/$I$36</f>
        <v>0</v>
      </c>
      <c r="Q3" s="29">
        <v>0</v>
      </c>
      <c r="R3" s="24">
        <f>IF(B3 &gt; H3, B3-H3,0)</f>
        <v>2.2950851974523809</v>
      </c>
      <c r="S3" s="24">
        <f>IF(C3 &gt; I3, C3-I3,0)</f>
        <v>126.105</v>
      </c>
      <c r="T3" s="24">
        <f>IF(D3 &gt; J3, D3-J3,0)</f>
        <v>122.83199999999999</v>
      </c>
      <c r="V3" s="29">
        <v>0</v>
      </c>
      <c r="W3" s="24">
        <f>IF(V32 &lt;0,V32,0)</f>
        <v>0</v>
      </c>
      <c r="X3" s="24">
        <f>IF(I3-C3&gt;0,-(I3-C3),0)</f>
        <v>0</v>
      </c>
      <c r="Y3" s="24">
        <f>IF(J3-D3&gt;0,-(J3-D3),0)</f>
        <v>0</v>
      </c>
      <c r="AA3" s="29">
        <v>0</v>
      </c>
      <c r="AB3" s="24">
        <f>V32*tariffs[[#This Row],[Building 1 (buy)]]</f>
        <v>0.14661428652230954</v>
      </c>
      <c r="AC3" s="24">
        <f>W32*tariffs[[#This Row],[Building 2 (buy)]]</f>
        <v>14.4642435</v>
      </c>
      <c r="AD3" s="24">
        <f>X32*tariffs[[#This Row],[Building 3 (buy)]]</f>
        <v>14.887238399999999</v>
      </c>
      <c r="AF3" s="29">
        <v>0</v>
      </c>
      <c r="AG3" s="24">
        <f>H3*'Conversion Technologies'!$I$8</f>
        <v>0</v>
      </c>
      <c r="AH3" s="24">
        <f>I3*'Conversion Technologies'!$I$8</f>
        <v>0</v>
      </c>
      <c r="AI3" s="24">
        <f>J3*'Conversion Technologies'!$I$8</f>
        <v>0</v>
      </c>
      <c r="AJ3" s="24"/>
      <c r="AK3" s="29">
        <v>0</v>
      </c>
      <c r="AL3" s="24">
        <f>(Q33+R33)*'Conversion Technologies'!$I$21</f>
        <v>0.125</v>
      </c>
      <c r="AN3" s="29">
        <v>0</v>
      </c>
      <c r="AO3" s="32">
        <f>-W3*tariffs[[#This Row],[Building 1 (sell)]]</f>
        <v>0</v>
      </c>
      <c r="AP3" s="32">
        <f>-X3*tariffs[[#This Row],[Building 2 (sell)]]</f>
        <v>0</v>
      </c>
      <c r="AQ3" s="32">
        <f>-Y3*tariffs[[#This Row],[Building 3 (sell)]]</f>
        <v>0</v>
      </c>
      <c r="AS3" s="29">
        <v>0</v>
      </c>
      <c r="AT3" s="24">
        <f>V32*'Conversion Technologies'!$E$2</f>
        <v>0.26901703949047623</v>
      </c>
      <c r="AU3" s="24">
        <f>final_electricity__161924263031329[[#This Row],[ Building 1 (kWh)2]]*'Conversion Technologies'!$E$2</f>
        <v>25.221000000000004</v>
      </c>
      <c r="AV3" s="24">
        <f>final_electricity__161924263031329[[#This Row],[ Building 1 (kWh)3]]*'Conversion Technologies'!$E$2</f>
        <v>24.566400000000002</v>
      </c>
    </row>
    <row r="4" spans="1:57" x14ac:dyDescent="0.35">
      <c r="A4" s="29">
        <v>1</v>
      </c>
      <c r="B4" s="24">
        <f>final_electricity__161924[[#This Row],[ Building 1 (kWh)]]+final_electricity__16192425[[#This Row],[Total]]</f>
        <v>0.22495814460000002</v>
      </c>
      <c r="C4" s="24">
        <f>final_electricity__161924[[#This Row],[Building 2 (kWh)]]</f>
        <v>124.566</v>
      </c>
      <c r="D4" s="24">
        <f>final_electricity__161924[[#This Row],[Building 3 (kWh)]]</f>
        <v>121.10599999999999</v>
      </c>
      <c r="E4" s="24">
        <f>SUM(final_electricity__161924263039[[#This Row],[ Building 1 (kWh)]]:final_electricity__161924263039[[#This Row],[Building 3 (kWh)]])</f>
        <v>245.89695814459998</v>
      </c>
      <c r="G4" s="29">
        <v>1</v>
      </c>
      <c r="H4" s="24">
        <f>final_electricity__118[[#This Row],[Generation]]/1000*('Conversion Technologies'!$I$11/('Conversion Technologies'!$I$2/1000))</f>
        <v>0</v>
      </c>
      <c r="I4" s="24">
        <f>('Conversion Technologies'!$I$12/'Conversion Technologies'!$I$11)*H4</f>
        <v>0</v>
      </c>
      <c r="J4" s="24">
        <f>('Conversion Technologies'!$I$13/'Conversion Technologies'!$I$11)*H4</f>
        <v>0</v>
      </c>
      <c r="K4" s="24">
        <f>SUM(final_electricity__16192426303140[[#This Row],[ Building 1 (kWh)]]:final_electricity__16192426303140[[#This Row],[Building 3 (kWh)]])</f>
        <v>0</v>
      </c>
      <c r="M4" s="29">
        <v>1</v>
      </c>
      <c r="N4" s="32">
        <f t="shared" ref="N4:N26" si="0">IF(H4&gt;B4,H4-B4,0)</f>
        <v>0</v>
      </c>
      <c r="O4" s="36">
        <f>SUM($N$3:N4)/$I$36</f>
        <v>0</v>
      </c>
      <c r="Q4" s="29">
        <v>1</v>
      </c>
      <c r="R4" s="24">
        <f t="shared" ref="R4:R26" si="1">IF(B4 &gt; H4, B4-H4,0)</f>
        <v>0.22495814460000002</v>
      </c>
      <c r="S4" s="24">
        <f t="shared" ref="S4:S26" si="2">IF(C4 &gt; I4, C4-I4,0)</f>
        <v>124.566</v>
      </c>
      <c r="T4" s="24">
        <f t="shared" ref="T4:T26" si="3">IF(D4 &gt; J4, D4-J4,0)</f>
        <v>121.10599999999999</v>
      </c>
      <c r="V4" s="29">
        <v>1</v>
      </c>
      <c r="W4" s="24">
        <f t="shared" ref="W4:W26" si="4">IF(V33 &lt;0,V33,0)</f>
        <v>0</v>
      </c>
      <c r="X4" s="24">
        <f t="shared" ref="X4:X26" si="5">IF(I4-C4&gt;0,-(I4-C4),0)</f>
        <v>0</v>
      </c>
      <c r="Y4" s="24">
        <f t="shared" ref="Y4:Y26" si="6">IF(J4-D4&gt;0,-(J4-D4),0)</f>
        <v>0</v>
      </c>
      <c r="AA4" s="29">
        <v>1</v>
      </c>
      <c r="AB4" s="24">
        <f>V33*tariffs[[#This Row],[Building 1 (buy)]]</f>
        <v>2.4520437761400001E-2</v>
      </c>
      <c r="AC4" s="24">
        <f>W33*tariffs[[#This Row],[Building 2 (buy)]]</f>
        <v>14.287720199999999</v>
      </c>
      <c r="AD4" s="24">
        <f>X33*tariffs[[#This Row],[Building 3 (buy)]]</f>
        <v>14.6780472</v>
      </c>
      <c r="AF4" s="29">
        <v>1</v>
      </c>
      <c r="AG4" s="24">
        <f>H4*'Conversion Technologies'!$I$8</f>
        <v>0</v>
      </c>
      <c r="AH4" s="24">
        <f>I4*'Conversion Technologies'!$I$8</f>
        <v>0</v>
      </c>
      <c r="AI4" s="24">
        <f>J4*'Conversion Technologies'!$I$8</f>
        <v>0</v>
      </c>
      <c r="AJ4" s="24"/>
      <c r="AK4" s="29">
        <v>1</v>
      </c>
      <c r="AL4" s="24">
        <f>(Q34+R34)*'Conversion Technologies'!$I$21</f>
        <v>0</v>
      </c>
      <c r="AN4" s="29">
        <v>1</v>
      </c>
      <c r="AO4" s="32">
        <f>-W4*tariffs[[#This Row],[Building 1 (sell)]]</f>
        <v>0</v>
      </c>
      <c r="AP4" s="32">
        <f>-X4*tariffs[[#This Row],[Building 2 (sell)]]</f>
        <v>0</v>
      </c>
      <c r="AQ4" s="32">
        <f>-Y4*tariffs[[#This Row],[Building 3 (sell)]]</f>
        <v>0</v>
      </c>
      <c r="AS4" s="29">
        <v>1</v>
      </c>
      <c r="AT4" s="24">
        <f>V33*'Conversion Technologies'!$E$2</f>
        <v>4.4991628920000006E-2</v>
      </c>
      <c r="AU4" s="24">
        <f>final_electricity__161924263031329[[#This Row],[ Building 1 (kWh)2]]*'Conversion Technologies'!$E$2</f>
        <v>24.913200000000003</v>
      </c>
      <c r="AV4" s="24">
        <f>final_electricity__161924263031329[[#This Row],[ Building 1 (kWh)3]]*'Conversion Technologies'!$E$2</f>
        <v>24.2212</v>
      </c>
    </row>
    <row r="5" spans="1:57" x14ac:dyDescent="0.35">
      <c r="A5" s="29">
        <v>2</v>
      </c>
      <c r="B5" s="24">
        <f>final_electricity__161924[[#This Row],[ Building 1 (kWh)]]+final_electricity__16192425[[#This Row],[Total]]</f>
        <v>14.936496131695485</v>
      </c>
      <c r="C5" s="24">
        <f>final_electricity__161924[[#This Row],[Building 2 (kWh)]]</f>
        <v>122.24</v>
      </c>
      <c r="D5" s="24">
        <f>final_electricity__161924[[#This Row],[Building 3 (kWh)]]</f>
        <v>111.349</v>
      </c>
      <c r="E5" s="24">
        <f>SUM(final_electricity__161924263039[[#This Row],[ Building 1 (kWh)]]:final_electricity__161924263039[[#This Row],[Building 3 (kWh)]])</f>
        <v>248.52549613169549</v>
      </c>
      <c r="G5" s="29">
        <v>2</v>
      </c>
      <c r="H5" s="24">
        <f>final_electricity__118[[#This Row],[Generation]]/1000*('Conversion Technologies'!$I$11/('Conversion Technologies'!$I$2/1000))</f>
        <v>0</v>
      </c>
      <c r="I5" s="24">
        <f>('Conversion Technologies'!$I$12/'Conversion Technologies'!$I$11)*H5</f>
        <v>0</v>
      </c>
      <c r="J5" s="24">
        <f>('Conversion Technologies'!$I$13/'Conversion Technologies'!$I$11)*H5</f>
        <v>0</v>
      </c>
      <c r="K5" s="24">
        <f>SUM(final_electricity__16192426303140[[#This Row],[ Building 1 (kWh)]]:final_electricity__16192426303140[[#This Row],[Building 3 (kWh)]])</f>
        <v>0</v>
      </c>
      <c r="M5" s="29">
        <v>2</v>
      </c>
      <c r="N5" s="32">
        <f t="shared" si="0"/>
        <v>0</v>
      </c>
      <c r="O5" s="36">
        <f>SUM($N$3:N5)/$I$36</f>
        <v>0</v>
      </c>
      <c r="Q5" s="29">
        <v>2</v>
      </c>
      <c r="R5" s="24">
        <f t="shared" si="1"/>
        <v>14.936496131695485</v>
      </c>
      <c r="S5" s="24">
        <f t="shared" si="2"/>
        <v>122.24</v>
      </c>
      <c r="T5" s="24">
        <f t="shared" si="3"/>
        <v>111.349</v>
      </c>
      <c r="V5" s="29">
        <v>2</v>
      </c>
      <c r="W5" s="24">
        <f t="shared" si="4"/>
        <v>0</v>
      </c>
      <c r="X5" s="24">
        <f t="shared" si="5"/>
        <v>0</v>
      </c>
      <c r="Y5" s="24">
        <f t="shared" si="6"/>
        <v>0</v>
      </c>
      <c r="AA5" s="29">
        <v>2</v>
      </c>
      <c r="AB5" s="24">
        <f>V34*tariffs[[#This Row],[Building 1 (buy)]]</f>
        <v>1.6280780783548079</v>
      </c>
      <c r="AC5" s="24">
        <f>W34*tariffs[[#This Row],[Building 2 (buy)]]</f>
        <v>11.0016</v>
      </c>
      <c r="AD5" s="24">
        <f>X34*tariffs[[#This Row],[Building 3 (buy)]]</f>
        <v>11.8920732</v>
      </c>
      <c r="AF5" s="29">
        <v>2</v>
      </c>
      <c r="AG5" s="24">
        <f>H5*'Conversion Technologies'!$I$8</f>
        <v>0</v>
      </c>
      <c r="AH5" s="24">
        <f>I5*'Conversion Technologies'!$I$8</f>
        <v>0</v>
      </c>
      <c r="AI5" s="24">
        <f>J5*'Conversion Technologies'!$I$8</f>
        <v>0</v>
      </c>
      <c r="AJ5" s="24"/>
      <c r="AK5" s="29">
        <v>2</v>
      </c>
      <c r="AL5" s="24">
        <f>(Q35+R35)*'Conversion Technologies'!$I$21</f>
        <v>0</v>
      </c>
      <c r="AN5" s="29">
        <v>2</v>
      </c>
      <c r="AO5" s="32">
        <f>-W5*tariffs[[#This Row],[Building 1 (sell)]]</f>
        <v>0</v>
      </c>
      <c r="AP5" s="32">
        <f>-X5*tariffs[[#This Row],[Building 2 (sell)]]</f>
        <v>0</v>
      </c>
      <c r="AQ5" s="32">
        <f>-Y5*tariffs[[#This Row],[Building 3 (sell)]]</f>
        <v>0</v>
      </c>
      <c r="AS5" s="29">
        <v>2</v>
      </c>
      <c r="AT5" s="24">
        <f>V34*'Conversion Technologies'!$E$2</f>
        <v>2.9872992263390969</v>
      </c>
      <c r="AU5" s="24">
        <f>final_electricity__161924263031329[[#This Row],[ Building 1 (kWh)2]]*'Conversion Technologies'!$E$2</f>
        <v>24.448</v>
      </c>
      <c r="AV5" s="24">
        <f>final_electricity__161924263031329[[#This Row],[ Building 1 (kWh)3]]*'Conversion Technologies'!$E$2</f>
        <v>22.269800000000004</v>
      </c>
    </row>
    <row r="6" spans="1:57" x14ac:dyDescent="0.35">
      <c r="A6" s="29">
        <v>3</v>
      </c>
      <c r="B6" s="24">
        <f>final_electricity__161924[[#This Row],[ Building 1 (kWh)]]+final_electricity__16192425[[#This Row],[Total]]</f>
        <v>0.21985899380000001</v>
      </c>
      <c r="C6" s="24">
        <f>final_electricity__161924[[#This Row],[Building 2 (kWh)]]</f>
        <v>119.33199999999999</v>
      </c>
      <c r="D6" s="24">
        <f>final_electricity__161924[[#This Row],[Building 3 (kWh)]]</f>
        <v>108.373</v>
      </c>
      <c r="E6" s="24">
        <f>SUM(final_electricity__161924263039[[#This Row],[ Building 1 (kWh)]]:final_electricity__161924263039[[#This Row],[Building 3 (kWh)]])</f>
        <v>227.9248589938</v>
      </c>
      <c r="G6" s="29">
        <v>3</v>
      </c>
      <c r="H6" s="24">
        <f>final_electricity__118[[#This Row],[Generation]]/1000*('Conversion Technologies'!$I$11/('Conversion Technologies'!$I$2/1000))</f>
        <v>0</v>
      </c>
      <c r="I6" s="24">
        <f>('Conversion Technologies'!$I$12/'Conversion Technologies'!$I$11)*H6</f>
        <v>0</v>
      </c>
      <c r="J6" s="24">
        <f>('Conversion Technologies'!$I$13/'Conversion Technologies'!$I$11)*H6</f>
        <v>0</v>
      </c>
      <c r="K6" s="24">
        <f>SUM(final_electricity__16192426303140[[#This Row],[ Building 1 (kWh)]]:final_electricity__16192426303140[[#This Row],[Building 3 (kWh)]])</f>
        <v>0</v>
      </c>
      <c r="M6" s="29">
        <v>3</v>
      </c>
      <c r="N6" s="32">
        <f t="shared" si="0"/>
        <v>0</v>
      </c>
      <c r="O6" s="36">
        <f>SUM($N$3:N6)/$I$36</f>
        <v>0</v>
      </c>
      <c r="Q6" s="29">
        <v>3</v>
      </c>
      <c r="R6" s="24">
        <f t="shared" si="1"/>
        <v>0.21985899380000001</v>
      </c>
      <c r="S6" s="24">
        <f t="shared" si="2"/>
        <v>119.33199999999999</v>
      </c>
      <c r="T6" s="24">
        <f t="shared" si="3"/>
        <v>108.373</v>
      </c>
      <c r="V6" s="29">
        <v>3</v>
      </c>
      <c r="W6" s="24">
        <f t="shared" si="4"/>
        <v>0</v>
      </c>
      <c r="X6" s="24">
        <f t="shared" si="5"/>
        <v>0</v>
      </c>
      <c r="Y6" s="24">
        <f t="shared" si="6"/>
        <v>0</v>
      </c>
      <c r="AA6" s="29">
        <v>3</v>
      </c>
      <c r="AB6" s="24">
        <f>V35*tariffs[[#This Row],[Building 1 (buy)]]</f>
        <v>2.3964630324200001E-2</v>
      </c>
      <c r="AC6" s="24">
        <f>W35*tariffs[[#This Row],[Building 2 (buy)]]</f>
        <v>10.739879999999999</v>
      </c>
      <c r="AD6" s="24">
        <f>X35*tariffs[[#This Row],[Building 3 (buy)]]</f>
        <v>11.574236400000002</v>
      </c>
      <c r="AF6" s="29">
        <v>3</v>
      </c>
      <c r="AG6" s="24">
        <f>H6*'Conversion Technologies'!$I$8</f>
        <v>0</v>
      </c>
      <c r="AH6" s="24">
        <f>I6*'Conversion Technologies'!$I$8</f>
        <v>0</v>
      </c>
      <c r="AI6" s="24">
        <f>J6*'Conversion Technologies'!$I$8</f>
        <v>0</v>
      </c>
      <c r="AJ6" s="24"/>
      <c r="AK6" s="29">
        <v>3</v>
      </c>
      <c r="AL6" s="24">
        <f>(Q36+R36)*'Conversion Technologies'!$I$21</f>
        <v>0</v>
      </c>
      <c r="AN6" s="29">
        <v>3</v>
      </c>
      <c r="AO6" s="32">
        <f>-W6*tariffs[[#This Row],[Building 1 (sell)]]</f>
        <v>0</v>
      </c>
      <c r="AP6" s="32">
        <f>-X6*tariffs[[#This Row],[Building 2 (sell)]]</f>
        <v>0</v>
      </c>
      <c r="AQ6" s="32">
        <f>-Y6*tariffs[[#This Row],[Building 3 (sell)]]</f>
        <v>0</v>
      </c>
      <c r="AS6" s="29">
        <v>3</v>
      </c>
      <c r="AT6" s="24">
        <f>V35*'Conversion Technologies'!$E$2</f>
        <v>4.3971798760000007E-2</v>
      </c>
      <c r="AU6" s="24">
        <f>final_electricity__161924263031329[[#This Row],[ Building 1 (kWh)2]]*'Conversion Technologies'!$E$2</f>
        <v>23.866399999999999</v>
      </c>
      <c r="AV6" s="24">
        <f>final_electricity__161924263031329[[#This Row],[ Building 1 (kWh)3]]*'Conversion Technologies'!$E$2</f>
        <v>21.674600000000002</v>
      </c>
    </row>
    <row r="7" spans="1:57" x14ac:dyDescent="0.35">
      <c r="A7" s="29">
        <v>4</v>
      </c>
      <c r="B7" s="24">
        <f>final_electricity__161924[[#This Row],[ Building 1 (kWh)]]+final_electricity__16192425[[#This Row],[Total]]</f>
        <v>0.24080941840000006</v>
      </c>
      <c r="C7" s="24">
        <f>final_electricity__161924[[#This Row],[Building 2 (kWh)]]</f>
        <v>118.456</v>
      </c>
      <c r="D7" s="24">
        <f>final_electricity__161924[[#This Row],[Building 3 (kWh)]]</f>
        <v>111.221</v>
      </c>
      <c r="E7" s="24">
        <f>SUM(final_electricity__161924263039[[#This Row],[ Building 1 (kWh)]]:final_electricity__161924263039[[#This Row],[Building 3 (kWh)]])</f>
        <v>229.9178094184</v>
      </c>
      <c r="G7" s="29">
        <v>4</v>
      </c>
      <c r="H7" s="24">
        <f>final_electricity__118[[#This Row],[Generation]]/1000*('Conversion Technologies'!$I$11/('Conversion Technologies'!$I$2/1000))</f>
        <v>0</v>
      </c>
      <c r="I7" s="24">
        <f>('Conversion Technologies'!$I$12/'Conversion Technologies'!$I$11)*H7</f>
        <v>0</v>
      </c>
      <c r="J7" s="24">
        <f>('Conversion Technologies'!$I$13/'Conversion Technologies'!$I$11)*H7</f>
        <v>0</v>
      </c>
      <c r="K7" s="24">
        <f>SUM(final_electricity__16192426303140[[#This Row],[ Building 1 (kWh)]]:final_electricity__16192426303140[[#This Row],[Building 3 (kWh)]])</f>
        <v>0</v>
      </c>
      <c r="M7" s="29">
        <v>4</v>
      </c>
      <c r="N7" s="32">
        <f t="shared" si="0"/>
        <v>0</v>
      </c>
      <c r="O7" s="36">
        <f>SUM($N$3:N7)/$I$36</f>
        <v>0</v>
      </c>
      <c r="Q7" s="29">
        <v>4</v>
      </c>
      <c r="R7" s="24">
        <f t="shared" si="1"/>
        <v>0.24080941840000006</v>
      </c>
      <c r="S7" s="24">
        <f t="shared" si="2"/>
        <v>118.456</v>
      </c>
      <c r="T7" s="24">
        <f t="shared" si="3"/>
        <v>111.221</v>
      </c>
      <c r="V7" s="29">
        <v>4</v>
      </c>
      <c r="W7" s="24">
        <f t="shared" si="4"/>
        <v>0</v>
      </c>
      <c r="X7" s="24">
        <f t="shared" si="5"/>
        <v>0</v>
      </c>
      <c r="Y7" s="24">
        <f t="shared" si="6"/>
        <v>0</v>
      </c>
      <c r="AA7" s="29">
        <v>4</v>
      </c>
      <c r="AB7" s="24">
        <f>V36*tariffs[[#This Row],[Building 1 (buy)]]</f>
        <v>2.6248226605600007E-2</v>
      </c>
      <c r="AC7" s="24">
        <f>W36*tariffs[[#This Row],[Building 2 (buy)]]</f>
        <v>10.66104</v>
      </c>
      <c r="AD7" s="24">
        <f>X36*tariffs[[#This Row],[Building 3 (buy)]]</f>
        <v>11.878402800000002</v>
      </c>
      <c r="AF7" s="29">
        <v>4</v>
      </c>
      <c r="AG7" s="24">
        <f>H7*'Conversion Technologies'!$I$8</f>
        <v>0</v>
      </c>
      <c r="AH7" s="24">
        <f>I7*'Conversion Technologies'!$I$8</f>
        <v>0</v>
      </c>
      <c r="AI7" s="24">
        <f>J7*'Conversion Technologies'!$I$8</f>
        <v>0</v>
      </c>
      <c r="AJ7" s="24"/>
      <c r="AK7" s="29">
        <v>4</v>
      </c>
      <c r="AL7" s="24">
        <f>(Q37+R37)*'Conversion Technologies'!$I$21</f>
        <v>0</v>
      </c>
      <c r="AN7" s="29">
        <v>4</v>
      </c>
      <c r="AO7" s="32">
        <f>-W7*tariffs[[#This Row],[Building 1 (sell)]]</f>
        <v>0</v>
      </c>
      <c r="AP7" s="32">
        <f>-X7*tariffs[[#This Row],[Building 2 (sell)]]</f>
        <v>0</v>
      </c>
      <c r="AQ7" s="32">
        <f>-Y7*tariffs[[#This Row],[Building 3 (sell)]]</f>
        <v>0</v>
      </c>
      <c r="AS7" s="29">
        <v>4</v>
      </c>
      <c r="AT7" s="24">
        <f>V36*'Conversion Technologies'!$E$2</f>
        <v>4.8161883680000017E-2</v>
      </c>
      <c r="AU7" s="24">
        <f>final_electricity__161924263031329[[#This Row],[ Building 1 (kWh)2]]*'Conversion Technologies'!$E$2</f>
        <v>23.691200000000002</v>
      </c>
      <c r="AV7" s="24">
        <f>final_electricity__161924263031329[[#This Row],[ Building 1 (kWh)3]]*'Conversion Technologies'!$E$2</f>
        <v>22.244200000000003</v>
      </c>
    </row>
    <row r="8" spans="1:57" x14ac:dyDescent="0.35">
      <c r="A8" s="29">
        <v>5</v>
      </c>
      <c r="B8" s="24">
        <f>final_electricity__161924[[#This Row],[ Building 1 (kWh)]]+final_electricity__16192425[[#This Row],[Total]]</f>
        <v>0.26540972719999995</v>
      </c>
      <c r="C8" s="24">
        <f>final_electricity__161924[[#This Row],[Building 2 (kWh)]]</f>
        <v>123.203</v>
      </c>
      <c r="D8" s="24">
        <f>final_electricity__161924[[#This Row],[Building 3 (kWh)]]</f>
        <v>124.458</v>
      </c>
      <c r="E8" s="24">
        <f>SUM(final_electricity__161924263039[[#This Row],[ Building 1 (kWh)]]:final_electricity__161924263039[[#This Row],[Building 3 (kWh)]])</f>
        <v>247.9264097272</v>
      </c>
      <c r="G8" s="29">
        <v>5</v>
      </c>
      <c r="H8" s="24">
        <f>final_electricity__118[[#This Row],[Generation]]/1000*('Conversion Technologies'!$I$11/('Conversion Technologies'!$I$2/1000))</f>
        <v>0</v>
      </c>
      <c r="I8" s="24">
        <f>('Conversion Technologies'!$I$12/'Conversion Technologies'!$I$11)*H8</f>
        <v>0</v>
      </c>
      <c r="J8" s="24">
        <f>('Conversion Technologies'!$I$13/'Conversion Technologies'!$I$11)*H8</f>
        <v>0</v>
      </c>
      <c r="K8" s="24">
        <f>SUM(final_electricity__16192426303140[[#This Row],[ Building 1 (kWh)]]:final_electricity__16192426303140[[#This Row],[Building 3 (kWh)]])</f>
        <v>0</v>
      </c>
      <c r="M8" s="29">
        <v>5</v>
      </c>
      <c r="N8" s="32">
        <f t="shared" si="0"/>
        <v>0</v>
      </c>
      <c r="O8" s="36">
        <f>SUM($N$3:N8)/$I$36</f>
        <v>0</v>
      </c>
      <c r="Q8" s="29">
        <v>5</v>
      </c>
      <c r="R8" s="24">
        <f t="shared" si="1"/>
        <v>0.26540972719999995</v>
      </c>
      <c r="S8" s="24">
        <f t="shared" si="2"/>
        <v>123.203</v>
      </c>
      <c r="T8" s="24">
        <f t="shared" si="3"/>
        <v>124.458</v>
      </c>
      <c r="V8" s="29">
        <v>5</v>
      </c>
      <c r="W8" s="24">
        <f t="shared" si="4"/>
        <v>0</v>
      </c>
      <c r="X8" s="24">
        <f t="shared" si="5"/>
        <v>0</v>
      </c>
      <c r="Y8" s="24">
        <f t="shared" si="6"/>
        <v>0</v>
      </c>
      <c r="AA8" s="29">
        <v>5</v>
      </c>
      <c r="AB8" s="24">
        <f>V37*tariffs[[#This Row],[Building 1 (buy)]]</f>
        <v>2.8929660264799994E-2</v>
      </c>
      <c r="AC8" s="24">
        <f>W37*tariffs[[#This Row],[Building 2 (buy)]]</f>
        <v>11.08827</v>
      </c>
      <c r="AD8" s="24">
        <f>X37*tariffs[[#This Row],[Building 3 (buy)]]</f>
        <v>13.292114400000001</v>
      </c>
      <c r="AF8" s="29">
        <v>5</v>
      </c>
      <c r="AG8" s="24">
        <f>H8*'Conversion Technologies'!$I$8</f>
        <v>0</v>
      </c>
      <c r="AH8" s="24">
        <f>I8*'Conversion Technologies'!$I$8</f>
        <v>0</v>
      </c>
      <c r="AI8" s="24">
        <f>J8*'Conversion Technologies'!$I$8</f>
        <v>0</v>
      </c>
      <c r="AJ8" s="24"/>
      <c r="AK8" s="29">
        <v>5</v>
      </c>
      <c r="AL8" s="24">
        <f>(Q38+R38)*'Conversion Technologies'!$I$21</f>
        <v>0</v>
      </c>
      <c r="AN8" s="29">
        <v>5</v>
      </c>
      <c r="AO8" s="32">
        <f>-W8*tariffs[[#This Row],[Building 1 (sell)]]</f>
        <v>0</v>
      </c>
      <c r="AP8" s="32">
        <f>-X8*tariffs[[#This Row],[Building 2 (sell)]]</f>
        <v>0</v>
      </c>
      <c r="AQ8" s="32">
        <f>-Y8*tariffs[[#This Row],[Building 3 (sell)]]</f>
        <v>0</v>
      </c>
      <c r="AS8" s="29">
        <v>5</v>
      </c>
      <c r="AT8" s="24">
        <f>V37*'Conversion Technologies'!$E$2</f>
        <v>5.3081945439999993E-2</v>
      </c>
      <c r="AU8" s="24">
        <f>final_electricity__161924263031329[[#This Row],[ Building 1 (kWh)2]]*'Conversion Technologies'!$E$2</f>
        <v>24.640600000000003</v>
      </c>
      <c r="AV8" s="24">
        <f>final_electricity__161924263031329[[#This Row],[ Building 1 (kWh)3]]*'Conversion Technologies'!$E$2</f>
        <v>24.8916</v>
      </c>
    </row>
    <row r="9" spans="1:57" x14ac:dyDescent="0.35">
      <c r="A9" s="29">
        <v>6</v>
      </c>
      <c r="B9" s="24">
        <f>final_electricity__161924[[#This Row],[ Building 1 (kWh)]]+final_electricity__16192425[[#This Row],[Total]]</f>
        <v>0.26401003599999995</v>
      </c>
      <c r="C9" s="24">
        <f>final_electricity__161924[[#This Row],[Building 2 (kWh)]]</f>
        <v>128.864</v>
      </c>
      <c r="D9" s="24">
        <f>final_electricity__161924[[#This Row],[Building 3 (kWh)]]</f>
        <v>135.33600000000001</v>
      </c>
      <c r="E9" s="24">
        <f>SUM(final_electricity__161924263039[[#This Row],[ Building 1 (kWh)]]:final_electricity__161924263039[[#This Row],[Building 3 (kWh)]])</f>
        <v>264.46401003599999</v>
      </c>
      <c r="G9" s="29">
        <v>6</v>
      </c>
      <c r="H9" s="24">
        <f>final_electricity__118[[#This Row],[Generation]]/1000*('Conversion Technologies'!$I$11/('Conversion Technologies'!$I$2/1000))</f>
        <v>0</v>
      </c>
      <c r="I9" s="24">
        <f>('Conversion Technologies'!$I$12/'Conversion Technologies'!$I$11)*H9</f>
        <v>0</v>
      </c>
      <c r="J9" s="24">
        <f>('Conversion Technologies'!$I$13/'Conversion Technologies'!$I$11)*H9</f>
        <v>0</v>
      </c>
      <c r="K9" s="24">
        <f>SUM(final_electricity__16192426303140[[#This Row],[ Building 1 (kWh)]]:final_electricity__16192426303140[[#This Row],[Building 3 (kWh)]])</f>
        <v>0</v>
      </c>
      <c r="M9" s="29">
        <v>6</v>
      </c>
      <c r="N9" s="32">
        <f t="shared" si="0"/>
        <v>0</v>
      </c>
      <c r="O9" s="36">
        <f>SUM($N$3:N9)/$I$36</f>
        <v>0</v>
      </c>
      <c r="Q9" s="29">
        <v>6</v>
      </c>
      <c r="R9" s="24">
        <f t="shared" si="1"/>
        <v>0.26401003599999995</v>
      </c>
      <c r="S9" s="24">
        <f t="shared" si="2"/>
        <v>128.864</v>
      </c>
      <c r="T9" s="24">
        <f t="shared" si="3"/>
        <v>135.33600000000001</v>
      </c>
      <c r="V9" s="29">
        <v>6</v>
      </c>
      <c r="W9" s="24">
        <f t="shared" si="4"/>
        <v>0</v>
      </c>
      <c r="X9" s="24">
        <f t="shared" si="5"/>
        <v>0</v>
      </c>
      <c r="Y9" s="24">
        <f t="shared" si="6"/>
        <v>0</v>
      </c>
      <c r="AA9" s="29">
        <v>6</v>
      </c>
      <c r="AB9" s="24">
        <f>V38*tariffs[[#This Row],[Building 1 (buy)]]</f>
        <v>2.8777093923999995E-2</v>
      </c>
      <c r="AC9" s="24">
        <f>W38*tariffs[[#This Row],[Building 2 (buy)]]</f>
        <v>14.7807008</v>
      </c>
      <c r="AD9" s="24">
        <f>X38*tariffs[[#This Row],[Building 3 (buy)]]</f>
        <v>17.756083200000003</v>
      </c>
      <c r="AF9" s="29">
        <v>6</v>
      </c>
      <c r="AG9" s="24">
        <f>H9*'Conversion Technologies'!$I$8</f>
        <v>0</v>
      </c>
      <c r="AH9" s="24">
        <f>I9*'Conversion Technologies'!$I$8</f>
        <v>0</v>
      </c>
      <c r="AI9" s="24">
        <f>J9*'Conversion Technologies'!$I$8</f>
        <v>0</v>
      </c>
      <c r="AJ9" s="24"/>
      <c r="AK9" s="29">
        <v>6</v>
      </c>
      <c r="AL9" s="24">
        <f>(Q39+R39)*'Conversion Technologies'!$I$21</f>
        <v>0</v>
      </c>
      <c r="AN9" s="29">
        <v>6</v>
      </c>
      <c r="AO9" s="32">
        <f>-W9*tariffs[[#This Row],[Building 1 (sell)]]</f>
        <v>0</v>
      </c>
      <c r="AP9" s="32">
        <f>-X9*tariffs[[#This Row],[Building 2 (sell)]]</f>
        <v>0</v>
      </c>
      <c r="AQ9" s="32">
        <f>-Y9*tariffs[[#This Row],[Building 3 (sell)]]</f>
        <v>0</v>
      </c>
      <c r="AS9" s="29">
        <v>6</v>
      </c>
      <c r="AT9" s="24">
        <f>V38*'Conversion Technologies'!$E$2</f>
        <v>5.2802007199999994E-2</v>
      </c>
      <c r="AU9" s="24">
        <f>final_electricity__161924263031329[[#This Row],[ Building 1 (kWh)2]]*'Conversion Technologies'!$E$2</f>
        <v>25.772800000000004</v>
      </c>
      <c r="AV9" s="24">
        <f>final_electricity__161924263031329[[#This Row],[ Building 1 (kWh)3]]*'Conversion Technologies'!$E$2</f>
        <v>27.067200000000003</v>
      </c>
    </row>
    <row r="10" spans="1:57" x14ac:dyDescent="0.35">
      <c r="A10" s="29">
        <v>7</v>
      </c>
      <c r="B10" s="24">
        <f>final_electricity__161924[[#This Row],[ Building 1 (kWh)]]+final_electricity__16192425[[#This Row],[Total]]</f>
        <v>0.53633536409999993</v>
      </c>
      <c r="C10" s="24">
        <f>final_electricity__161924[[#This Row],[Building 2 (kWh)]]</f>
        <v>156.93</v>
      </c>
      <c r="D10" s="24">
        <f>final_electricity__161924[[#This Row],[Building 3 (kWh)]]</f>
        <v>205.28700000000001</v>
      </c>
      <c r="E10" s="24">
        <f>SUM(final_electricity__161924263039[[#This Row],[ Building 1 (kWh)]]:final_electricity__161924263039[[#This Row],[Building 3 (kWh)]])</f>
        <v>362.75333536410005</v>
      </c>
      <c r="G10" s="29">
        <v>7</v>
      </c>
      <c r="H10" s="24">
        <f>final_electricity__118[[#This Row],[Generation]]/1000*('Conversion Technologies'!$I$11/('Conversion Technologies'!$I$2/1000))</f>
        <v>0</v>
      </c>
      <c r="I10" s="24">
        <f>('Conversion Technologies'!$I$12/'Conversion Technologies'!$I$11)*H10</f>
        <v>0</v>
      </c>
      <c r="J10" s="24">
        <f>('Conversion Technologies'!$I$13/'Conversion Technologies'!$I$11)*H10</f>
        <v>0</v>
      </c>
      <c r="K10" s="24">
        <f>SUM(final_electricity__16192426303140[[#This Row],[ Building 1 (kWh)]]:final_electricity__16192426303140[[#This Row],[Building 3 (kWh)]])</f>
        <v>0</v>
      </c>
      <c r="M10" s="29">
        <v>7</v>
      </c>
      <c r="N10" s="32">
        <f t="shared" si="0"/>
        <v>0</v>
      </c>
      <c r="O10" s="36">
        <f>SUM($N$3:N10)/$I$36</f>
        <v>0</v>
      </c>
      <c r="Q10" s="29">
        <v>7</v>
      </c>
      <c r="R10" s="24">
        <f t="shared" si="1"/>
        <v>0.53633536409999993</v>
      </c>
      <c r="S10" s="24">
        <f t="shared" si="2"/>
        <v>156.93</v>
      </c>
      <c r="T10" s="24">
        <f t="shared" si="3"/>
        <v>205.28700000000001</v>
      </c>
      <c r="V10" s="29">
        <v>7</v>
      </c>
      <c r="W10" s="24">
        <f t="shared" si="4"/>
        <v>0</v>
      </c>
      <c r="X10" s="24">
        <f t="shared" si="5"/>
        <v>0</v>
      </c>
      <c r="Y10" s="24">
        <f t="shared" si="6"/>
        <v>0</v>
      </c>
      <c r="AA10" s="29">
        <v>7</v>
      </c>
      <c r="AB10" s="24">
        <f>V39*tariffs[[#This Row],[Building 1 (buy)]]</f>
        <v>0.10490719721795999</v>
      </c>
      <c r="AC10" s="24">
        <f>W39*tariffs[[#This Row],[Building 2 (buy)]]</f>
        <v>24.622317000000002</v>
      </c>
      <c r="AD10" s="24">
        <f>X39*tariffs[[#This Row],[Building 3 (buy)]]</f>
        <v>34.365043800000002</v>
      </c>
      <c r="AF10" s="29">
        <v>7</v>
      </c>
      <c r="AG10" s="24">
        <f>H10*'Conversion Technologies'!$I$8</f>
        <v>0</v>
      </c>
      <c r="AH10" s="24">
        <f>I10*'Conversion Technologies'!$I$8</f>
        <v>0</v>
      </c>
      <c r="AI10" s="24">
        <f>J10*'Conversion Technologies'!$I$8</f>
        <v>0</v>
      </c>
      <c r="AJ10" s="24"/>
      <c r="AK10" s="29">
        <v>7</v>
      </c>
      <c r="AL10" s="24">
        <f>(Q40+R40)*'Conversion Technologies'!$I$21</f>
        <v>0</v>
      </c>
      <c r="AN10" s="29">
        <v>7</v>
      </c>
      <c r="AO10" s="32">
        <f>-W10*tariffs[[#This Row],[Building 1 (sell)]]</f>
        <v>0</v>
      </c>
      <c r="AP10" s="32">
        <f>-X10*tariffs[[#This Row],[Building 2 (sell)]]</f>
        <v>0</v>
      </c>
      <c r="AQ10" s="32">
        <f>-Y10*tariffs[[#This Row],[Building 3 (sell)]]</f>
        <v>0</v>
      </c>
      <c r="AS10" s="29">
        <v>7</v>
      </c>
      <c r="AT10" s="24">
        <f>V39*'Conversion Technologies'!$E$2</f>
        <v>0.10726707281999999</v>
      </c>
      <c r="AU10" s="24">
        <f>final_electricity__161924263031329[[#This Row],[ Building 1 (kWh)2]]*'Conversion Technologies'!$E$2</f>
        <v>31.386000000000003</v>
      </c>
      <c r="AV10" s="24">
        <f>final_electricity__161924263031329[[#This Row],[ Building 1 (kWh)3]]*'Conversion Technologies'!$E$2</f>
        <v>41.057400000000001</v>
      </c>
    </row>
    <row r="11" spans="1:57" x14ac:dyDescent="0.35">
      <c r="A11" s="29">
        <v>8</v>
      </c>
      <c r="B11" s="24">
        <f>final_electricity__161924[[#This Row],[ Building 1 (kWh)]]+final_electricity__16192425[[#This Row],[Total]]</f>
        <v>1.1153586078000002</v>
      </c>
      <c r="C11" s="24">
        <f>final_electricity__161924[[#This Row],[Building 2 (kWh)]]</f>
        <v>213.28899999999999</v>
      </c>
      <c r="D11" s="24">
        <f>final_electricity__161924[[#This Row],[Building 3 (kWh)]]</f>
        <v>276.12</v>
      </c>
      <c r="E11" s="24">
        <f>SUM(final_electricity__161924263039[[#This Row],[ Building 1 (kWh)]]:final_electricity__161924263039[[#This Row],[Building 3 (kWh)]])</f>
        <v>490.52435860779997</v>
      </c>
      <c r="G11" s="29">
        <v>8</v>
      </c>
      <c r="H11" s="24">
        <f>final_electricity__118[[#This Row],[Generation]]/1000*('Conversion Technologies'!$I$11/('Conversion Technologies'!$I$2/1000))</f>
        <v>0</v>
      </c>
      <c r="I11" s="24">
        <f>('Conversion Technologies'!$I$12/'Conversion Technologies'!$I$11)*H11</f>
        <v>0</v>
      </c>
      <c r="J11" s="24">
        <f>('Conversion Technologies'!$I$13/'Conversion Technologies'!$I$11)*H11</f>
        <v>0</v>
      </c>
      <c r="K11" s="24">
        <f>SUM(final_electricity__16192426303140[[#This Row],[ Building 1 (kWh)]]:final_electricity__16192426303140[[#This Row],[Building 3 (kWh)]])</f>
        <v>0</v>
      </c>
      <c r="M11" s="29">
        <v>8</v>
      </c>
      <c r="N11" s="32">
        <f t="shared" si="0"/>
        <v>0</v>
      </c>
      <c r="O11" s="36">
        <f>SUM($N$3:N11)/$I$36</f>
        <v>0</v>
      </c>
      <c r="Q11" s="29">
        <v>8</v>
      </c>
      <c r="R11" s="24">
        <f t="shared" si="1"/>
        <v>1.1153586078000002</v>
      </c>
      <c r="S11" s="24">
        <f t="shared" si="2"/>
        <v>213.28899999999999</v>
      </c>
      <c r="T11" s="24">
        <f t="shared" si="3"/>
        <v>276.12</v>
      </c>
      <c r="V11" s="29">
        <v>8</v>
      </c>
      <c r="W11" s="24">
        <f t="shared" si="4"/>
        <v>0</v>
      </c>
      <c r="X11" s="24">
        <f t="shared" si="5"/>
        <v>0</v>
      </c>
      <c r="Y11" s="24">
        <f t="shared" si="6"/>
        <v>0</v>
      </c>
      <c r="AA11" s="29">
        <v>8</v>
      </c>
      <c r="AB11" s="24">
        <f>V40*tariffs[[#This Row],[Building 1 (buy)]]</f>
        <v>0.21816414368568002</v>
      </c>
      <c r="AC11" s="24">
        <f>W40*tariffs[[#This Row],[Building 2 (buy)]]</f>
        <v>33.4650441</v>
      </c>
      <c r="AD11" s="24">
        <f>X40*tariffs[[#This Row],[Building 3 (buy)]]</f>
        <v>46.222487999999998</v>
      </c>
      <c r="AF11" s="29">
        <v>8</v>
      </c>
      <c r="AG11" s="24">
        <f>H11*'Conversion Technologies'!$I$8</f>
        <v>0</v>
      </c>
      <c r="AH11" s="24">
        <f>I11*'Conversion Technologies'!$I$8</f>
        <v>0</v>
      </c>
      <c r="AI11" s="24">
        <f>J11*'Conversion Technologies'!$I$8</f>
        <v>0</v>
      </c>
      <c r="AJ11" s="24"/>
      <c r="AK11" s="29">
        <v>8</v>
      </c>
      <c r="AL11" s="24">
        <f>(Q41+R41)*'Conversion Technologies'!$I$21</f>
        <v>0</v>
      </c>
      <c r="AN11" s="29">
        <v>8</v>
      </c>
      <c r="AO11" s="32">
        <f>-W11*tariffs[[#This Row],[Building 1 (sell)]]</f>
        <v>0</v>
      </c>
      <c r="AP11" s="32">
        <f>-X11*tariffs[[#This Row],[Building 2 (sell)]]</f>
        <v>0</v>
      </c>
      <c r="AQ11" s="32">
        <f>-Y11*tariffs[[#This Row],[Building 3 (sell)]]</f>
        <v>0</v>
      </c>
      <c r="AS11" s="29">
        <v>8</v>
      </c>
      <c r="AT11" s="24">
        <f>V40*'Conversion Technologies'!$E$2</f>
        <v>0.22307172156000005</v>
      </c>
      <c r="AU11" s="24">
        <f>final_electricity__161924263031329[[#This Row],[ Building 1 (kWh)2]]*'Conversion Technologies'!$E$2</f>
        <v>42.657800000000002</v>
      </c>
      <c r="AV11" s="24">
        <f>final_electricity__161924263031329[[#This Row],[ Building 1 (kWh)3]]*'Conversion Technologies'!$E$2</f>
        <v>55.224000000000004</v>
      </c>
    </row>
    <row r="12" spans="1:57" x14ac:dyDescent="0.35">
      <c r="A12" s="29">
        <v>9</v>
      </c>
      <c r="B12" s="24">
        <f>final_electricity__161924[[#This Row],[ Building 1 (kWh)]]+final_electricity__16192425[[#This Row],[Total]]</f>
        <v>0.17599999999999999</v>
      </c>
      <c r="C12" s="24">
        <f>final_electricity__161924[[#This Row],[Building 2 (kWh)]]</f>
        <v>264.62</v>
      </c>
      <c r="D12" s="24">
        <f>final_electricity__161924[[#This Row],[Building 3 (kWh)]]</f>
        <v>327.05939999999998</v>
      </c>
      <c r="E12" s="24">
        <f>SUM(final_electricity__161924263039[[#This Row],[ Building 1 (kWh)]]:final_electricity__161924263039[[#This Row],[Building 3 (kWh)]])</f>
        <v>591.85539999999992</v>
      </c>
      <c r="G12" s="29">
        <v>9</v>
      </c>
      <c r="H12" s="24">
        <f>final_electricity__118[[#This Row],[Generation]]/1000*('Conversion Technologies'!$I$11/('Conversion Technologies'!$I$2/1000))</f>
        <v>5.5320000000000008E-2</v>
      </c>
      <c r="I12" s="24">
        <f>('Conversion Technologies'!$I$12/'Conversion Technologies'!$I$11)*H12</f>
        <v>0.55320000000000014</v>
      </c>
      <c r="J12" s="24">
        <f>('Conversion Technologies'!$I$13/'Conversion Technologies'!$I$11)*H12</f>
        <v>1.1064000000000003</v>
      </c>
      <c r="K12" s="24">
        <f>SUM(final_electricity__16192426303140[[#This Row],[ Building 1 (kWh)]]:final_electricity__16192426303140[[#This Row],[Building 3 (kWh)]])</f>
        <v>1.7149200000000004</v>
      </c>
      <c r="M12" s="29">
        <v>9</v>
      </c>
      <c r="N12" s="32">
        <f t="shared" si="0"/>
        <v>0</v>
      </c>
      <c r="O12" s="36">
        <f>SUM($N$3:N12)/$I$36</f>
        <v>0</v>
      </c>
      <c r="Q12" s="29">
        <v>9</v>
      </c>
      <c r="R12" s="24">
        <f t="shared" si="1"/>
        <v>0.12067999999999998</v>
      </c>
      <c r="S12" s="24">
        <f t="shared" si="2"/>
        <v>264.0668</v>
      </c>
      <c r="T12" s="24">
        <f t="shared" si="3"/>
        <v>325.95299999999997</v>
      </c>
      <c r="V12" s="29">
        <v>9</v>
      </c>
      <c r="W12" s="24">
        <f t="shared" si="4"/>
        <v>0</v>
      </c>
      <c r="X12" s="24">
        <f t="shared" si="5"/>
        <v>0</v>
      </c>
      <c r="Y12" s="24">
        <f t="shared" si="6"/>
        <v>0</v>
      </c>
      <c r="AA12" s="29">
        <v>9</v>
      </c>
      <c r="AB12" s="24">
        <f>V41*tariffs[[#This Row],[Building 1 (buy)]]</f>
        <v>2.3605007999999997E-2</v>
      </c>
      <c r="AC12" s="24">
        <f>W41*tariffs[[#This Row],[Building 2 (buy)]]</f>
        <v>46.370130080000003</v>
      </c>
      <c r="AD12" s="24">
        <f>X41*tariffs[[#This Row],[Building 3 (buy)]]</f>
        <v>57.204751499999993</v>
      </c>
      <c r="AF12" s="29">
        <v>9</v>
      </c>
      <c r="AG12" s="24">
        <f>H12*'Conversion Technologies'!$I$8</f>
        <v>1.8304411764705885E-3</v>
      </c>
      <c r="AH12" s="24">
        <f>I12*'Conversion Technologies'!$I$8</f>
        <v>1.8304411764705888E-2</v>
      </c>
      <c r="AI12" s="24">
        <f>J12*'Conversion Technologies'!$I$8</f>
        <v>3.6608823529411777E-2</v>
      </c>
      <c r="AJ12" s="24"/>
      <c r="AK12" s="29">
        <v>9</v>
      </c>
      <c r="AL12" s="24">
        <f>(Q42+R42)*'Conversion Technologies'!$I$21</f>
        <v>0</v>
      </c>
      <c r="AN12" s="29">
        <v>9</v>
      </c>
      <c r="AO12" s="32">
        <f>-W12*tariffs[[#This Row],[Building 1 (sell)]]</f>
        <v>0</v>
      </c>
      <c r="AP12" s="32">
        <f>-X12*tariffs[[#This Row],[Building 2 (sell)]]</f>
        <v>0</v>
      </c>
      <c r="AQ12" s="32">
        <f>-Y12*tariffs[[#This Row],[Building 3 (sell)]]</f>
        <v>0</v>
      </c>
      <c r="AS12" s="29">
        <v>9</v>
      </c>
      <c r="AT12" s="24">
        <f>V41*'Conversion Technologies'!$E$2</f>
        <v>2.4135999999999998E-2</v>
      </c>
      <c r="AU12" s="24">
        <f>final_electricity__161924263031329[[#This Row],[ Building 1 (kWh)2]]*'Conversion Technologies'!$E$2</f>
        <v>52.813360000000003</v>
      </c>
      <c r="AV12" s="24">
        <f>final_electricity__161924263031329[[#This Row],[ Building 1 (kWh)3]]*'Conversion Technologies'!$E$2</f>
        <v>65.190600000000003</v>
      </c>
    </row>
    <row r="13" spans="1:57" x14ac:dyDescent="0.35">
      <c r="A13" s="29">
        <v>10</v>
      </c>
      <c r="B13" s="24">
        <f>final_electricity__161924[[#This Row],[ Building 1 (kWh)]]+final_electricity__16192425[[#This Row],[Total]]</f>
        <v>0.318</v>
      </c>
      <c r="C13" s="24">
        <f>final_electricity__161924[[#This Row],[Building 2 (kWh)]]</f>
        <v>278.54599999999999</v>
      </c>
      <c r="D13" s="24">
        <f>final_electricity__161924[[#This Row],[Building 3 (kWh)]]</f>
        <v>357.839</v>
      </c>
      <c r="E13" s="24">
        <f>SUM(final_electricity__161924263039[[#This Row],[ Building 1 (kWh)]]:final_electricity__161924263039[[#This Row],[Building 3 (kWh)]])</f>
        <v>636.70299999999997</v>
      </c>
      <c r="G13" s="29">
        <v>10</v>
      </c>
      <c r="H13" s="24">
        <f>final_electricity__118[[#This Row],[Generation]]/1000*('Conversion Technologies'!$I$11/('Conversion Technologies'!$I$2/1000))</f>
        <v>0.10952000000000001</v>
      </c>
      <c r="I13" s="24">
        <f>('Conversion Technologies'!$I$12/'Conversion Technologies'!$I$11)*H13</f>
        <v>1.0952000000000002</v>
      </c>
      <c r="J13" s="24">
        <f>('Conversion Technologies'!$I$13/'Conversion Technologies'!$I$11)*H13</f>
        <v>2.1904000000000003</v>
      </c>
      <c r="K13" s="24">
        <f>SUM(final_electricity__16192426303140[[#This Row],[ Building 1 (kWh)]]:final_electricity__16192426303140[[#This Row],[Building 3 (kWh)]])</f>
        <v>3.3951200000000004</v>
      </c>
      <c r="M13" s="29">
        <v>10</v>
      </c>
      <c r="N13" s="32">
        <f t="shared" si="0"/>
        <v>0</v>
      </c>
      <c r="O13" s="36">
        <f>SUM($N$3:N13)/$I$36</f>
        <v>0</v>
      </c>
      <c r="Q13" s="29">
        <v>10</v>
      </c>
      <c r="R13" s="24">
        <f t="shared" si="1"/>
        <v>0.20848</v>
      </c>
      <c r="S13" s="24">
        <f t="shared" si="2"/>
        <v>277.45080000000002</v>
      </c>
      <c r="T13" s="24">
        <f t="shared" si="3"/>
        <v>355.64859999999999</v>
      </c>
      <c r="V13" s="29">
        <v>10</v>
      </c>
      <c r="W13" s="24">
        <f t="shared" si="4"/>
        <v>0</v>
      </c>
      <c r="X13" s="24">
        <f t="shared" si="5"/>
        <v>0</v>
      </c>
      <c r="Y13" s="24">
        <f t="shared" si="6"/>
        <v>0</v>
      </c>
      <c r="AA13" s="29">
        <v>10</v>
      </c>
      <c r="AB13" s="24">
        <f>V42*tariffs[[#This Row],[Building 1 (buy)]]</f>
        <v>4.0778688E-2</v>
      </c>
      <c r="AC13" s="24">
        <f>W42*tariffs[[#This Row],[Building 2 (buy)]]</f>
        <v>48.720360480000004</v>
      </c>
      <c r="AD13" s="24">
        <f>X42*tariffs[[#This Row],[Building 3 (buy)]]</f>
        <v>62.416329299999994</v>
      </c>
      <c r="AF13" s="29">
        <v>10</v>
      </c>
      <c r="AG13" s="24">
        <f>H13*'Conversion Technologies'!$I$8</f>
        <v>3.6238235294117648E-3</v>
      </c>
      <c r="AH13" s="24">
        <f>I13*'Conversion Technologies'!$I$8</f>
        <v>3.6238235294117654E-2</v>
      </c>
      <c r="AI13" s="24">
        <f>J13*'Conversion Technologies'!$I$8</f>
        <v>7.2476470588235309E-2</v>
      </c>
      <c r="AJ13" s="24"/>
      <c r="AK13" s="29">
        <v>10</v>
      </c>
      <c r="AL13" s="24">
        <f>(Q43+R43)*'Conversion Technologies'!$I$21</f>
        <v>0</v>
      </c>
      <c r="AN13" s="29">
        <v>10</v>
      </c>
      <c r="AO13" s="32">
        <f>-W13*tariffs[[#This Row],[Building 1 (sell)]]</f>
        <v>0</v>
      </c>
      <c r="AP13" s="32">
        <f>-X13*tariffs[[#This Row],[Building 2 (sell)]]</f>
        <v>0</v>
      </c>
      <c r="AQ13" s="32">
        <f>-Y13*tariffs[[#This Row],[Building 3 (sell)]]</f>
        <v>0</v>
      </c>
      <c r="AS13" s="29">
        <v>10</v>
      </c>
      <c r="AT13" s="24">
        <f>V42*'Conversion Technologies'!$E$2</f>
        <v>4.1696000000000004E-2</v>
      </c>
      <c r="AU13" s="24">
        <f>final_electricity__161924263031329[[#This Row],[ Building 1 (kWh)2]]*'Conversion Technologies'!$E$2</f>
        <v>55.490160000000003</v>
      </c>
      <c r="AV13" s="24">
        <f>final_electricity__161924263031329[[#This Row],[ Building 1 (kWh)3]]*'Conversion Technologies'!$E$2</f>
        <v>71.129720000000006</v>
      </c>
    </row>
    <row r="14" spans="1:57" x14ac:dyDescent="0.35">
      <c r="A14" s="29">
        <v>11</v>
      </c>
      <c r="B14" s="24">
        <f>final_electricity__161924[[#This Row],[ Building 1 (kWh)]]+final_electricity__16192425[[#This Row],[Total]]</f>
        <v>0.122</v>
      </c>
      <c r="C14" s="24">
        <f>final_electricity__161924[[#This Row],[Building 2 (kWh)]]</f>
        <v>290.54700000000003</v>
      </c>
      <c r="D14" s="24">
        <f>final_electricity__161924[[#This Row],[Building 3 (kWh)]]</f>
        <v>393.238</v>
      </c>
      <c r="E14" s="24">
        <f>SUM(final_electricity__161924263039[[#This Row],[ Building 1 (kWh)]]:final_electricity__161924263039[[#This Row],[Building 3 (kWh)]])</f>
        <v>683.90700000000004</v>
      </c>
      <c r="G14" s="29">
        <v>11</v>
      </c>
      <c r="H14" s="24">
        <f>final_electricity__118[[#This Row],[Generation]]/1000*('Conversion Technologies'!$I$11/('Conversion Technologies'!$I$2/1000))</f>
        <v>0.12110000000000001</v>
      </c>
      <c r="I14" s="24">
        <f>('Conversion Technologies'!$I$12/'Conversion Technologies'!$I$11)*H14</f>
        <v>1.2110000000000001</v>
      </c>
      <c r="J14" s="24">
        <f>('Conversion Technologies'!$I$13/'Conversion Technologies'!$I$11)*H14</f>
        <v>2.4220000000000002</v>
      </c>
      <c r="K14" s="24">
        <f>SUM(final_electricity__16192426303140[[#This Row],[ Building 1 (kWh)]]:final_electricity__16192426303140[[#This Row],[Building 3 (kWh)]])</f>
        <v>3.7541000000000002</v>
      </c>
      <c r="M14" s="29">
        <v>11</v>
      </c>
      <c r="N14" s="32">
        <f t="shared" si="0"/>
        <v>0</v>
      </c>
      <c r="O14" s="36">
        <f>SUM($N$3:N14)/$I$36</f>
        <v>0</v>
      </c>
      <c r="Q14" s="29">
        <v>11</v>
      </c>
      <c r="R14" s="24">
        <f t="shared" si="1"/>
        <v>8.9999999999998415E-4</v>
      </c>
      <c r="S14" s="24">
        <f t="shared" si="2"/>
        <v>289.33600000000001</v>
      </c>
      <c r="T14" s="24">
        <f t="shared" si="3"/>
        <v>390.81599999999997</v>
      </c>
      <c r="V14" s="29">
        <v>11</v>
      </c>
      <c r="W14" s="24">
        <f t="shared" si="4"/>
        <v>0</v>
      </c>
      <c r="X14" s="24">
        <f t="shared" si="5"/>
        <v>0</v>
      </c>
      <c r="Y14" s="24">
        <f t="shared" si="6"/>
        <v>0</v>
      </c>
      <c r="AA14" s="29">
        <v>11</v>
      </c>
      <c r="AB14" s="24">
        <f>V43*tariffs[[#This Row],[Building 1 (buy)]]</f>
        <v>1.7603999999999688E-4</v>
      </c>
      <c r="AC14" s="24">
        <f>W43*tariffs[[#This Row],[Building 2 (buy)]]</f>
        <v>50.807401600000006</v>
      </c>
      <c r="AD14" s="24">
        <f>X43*tariffs[[#This Row],[Building 3 (buy)]]</f>
        <v>68.588207999999995</v>
      </c>
      <c r="AF14" s="29">
        <v>11</v>
      </c>
      <c r="AG14" s="24">
        <f>H14*'Conversion Technologies'!$I$8</f>
        <v>4.0069852941176471E-3</v>
      </c>
      <c r="AH14" s="24">
        <f>I14*'Conversion Technologies'!$I$8</f>
        <v>4.0069852941176473E-2</v>
      </c>
      <c r="AI14" s="24">
        <f>J14*'Conversion Technologies'!$I$8</f>
        <v>8.0139705882352946E-2</v>
      </c>
      <c r="AJ14" s="24"/>
      <c r="AK14" s="29">
        <v>11</v>
      </c>
      <c r="AL14" s="24">
        <f>(Q44+R44)*'Conversion Technologies'!$I$21</f>
        <v>0</v>
      </c>
      <c r="AN14" s="29">
        <v>11</v>
      </c>
      <c r="AO14" s="32">
        <f>-W14*tariffs[[#This Row],[Building 1 (sell)]]</f>
        <v>0</v>
      </c>
      <c r="AP14" s="32">
        <f>-X14*tariffs[[#This Row],[Building 2 (sell)]]</f>
        <v>0</v>
      </c>
      <c r="AQ14" s="32">
        <f>-Y14*tariffs[[#This Row],[Building 3 (sell)]]</f>
        <v>0</v>
      </c>
      <c r="AS14" s="29">
        <v>11</v>
      </c>
      <c r="AT14" s="24">
        <f>V43*'Conversion Technologies'!$E$2</f>
        <v>1.7999999999999684E-4</v>
      </c>
      <c r="AU14" s="24">
        <f>final_electricity__161924263031329[[#This Row],[ Building 1 (kWh)2]]*'Conversion Technologies'!$E$2</f>
        <v>57.867200000000004</v>
      </c>
      <c r="AV14" s="24">
        <f>final_electricity__161924263031329[[#This Row],[ Building 1 (kWh)3]]*'Conversion Technologies'!$E$2</f>
        <v>78.163200000000003</v>
      </c>
    </row>
    <row r="15" spans="1:57" x14ac:dyDescent="0.35">
      <c r="A15" s="29">
        <v>12</v>
      </c>
      <c r="B15" s="24">
        <f>final_electricity__161924[[#This Row],[ Building 1 (kWh)]]+final_electricity__16192425[[#This Row],[Total]]</f>
        <v>0.10100000000000001</v>
      </c>
      <c r="C15" s="24">
        <f>final_electricity__161924[[#This Row],[Building 2 (kWh)]]</f>
        <v>278.565</v>
      </c>
      <c r="D15" s="24">
        <f>final_electricity__161924[[#This Row],[Building 3 (kWh)]]</f>
        <v>400.87400000000002</v>
      </c>
      <c r="E15" s="24">
        <f>SUM(final_electricity__161924263039[[#This Row],[ Building 1 (kWh)]]:final_electricity__161924263039[[#This Row],[Building 3 (kWh)]])</f>
        <v>679.54</v>
      </c>
      <c r="G15" s="29">
        <v>12</v>
      </c>
      <c r="H15" s="24">
        <f>final_electricity__118[[#This Row],[Generation]]/1000*('Conversion Technologies'!$I$11/('Conversion Technologies'!$I$2/1000))</f>
        <v>0.18812000000000001</v>
      </c>
      <c r="I15" s="24">
        <f>('Conversion Technologies'!$I$12/'Conversion Technologies'!$I$11)*H15</f>
        <v>1.8812000000000002</v>
      </c>
      <c r="J15" s="24">
        <f>('Conversion Technologies'!$I$13/'Conversion Technologies'!$I$11)*H15</f>
        <v>3.7624000000000004</v>
      </c>
      <c r="K15" s="24">
        <f>SUM(final_electricity__16192426303140[[#This Row],[ Building 1 (kWh)]]:final_electricity__16192426303140[[#This Row],[Building 3 (kWh)]])</f>
        <v>5.8317200000000007</v>
      </c>
      <c r="M15" s="29">
        <v>12</v>
      </c>
      <c r="N15" s="32">
        <f t="shared" si="0"/>
        <v>8.7120000000000003E-2</v>
      </c>
      <c r="O15" s="36">
        <f>SUM($N$3:N15)/$I$36</f>
        <v>4.3560000000000001E-2</v>
      </c>
      <c r="Q15" s="29">
        <v>12</v>
      </c>
      <c r="R15" s="24">
        <f t="shared" si="1"/>
        <v>0</v>
      </c>
      <c r="S15" s="24">
        <f t="shared" si="2"/>
        <v>276.68380000000002</v>
      </c>
      <c r="T15" s="24">
        <f t="shared" si="3"/>
        <v>397.11160000000001</v>
      </c>
      <c r="V15" s="29">
        <v>12</v>
      </c>
      <c r="W15" s="24">
        <f t="shared" si="4"/>
        <v>0</v>
      </c>
      <c r="X15" s="24">
        <f t="shared" si="5"/>
        <v>0</v>
      </c>
      <c r="Y15" s="24">
        <f t="shared" si="6"/>
        <v>0</v>
      </c>
      <c r="AA15" s="29">
        <v>12</v>
      </c>
      <c r="AB15" s="24">
        <f>V44*tariffs[[#This Row],[Building 1 (buy)]]</f>
        <v>0</v>
      </c>
      <c r="AC15" s="24">
        <f>W44*tariffs[[#This Row],[Building 2 (buy)]]</f>
        <v>43.411688220000009</v>
      </c>
      <c r="AD15" s="24">
        <f>X44*tariffs[[#This Row],[Building 3 (buy)]]</f>
        <v>66.476481840000005</v>
      </c>
      <c r="AF15" s="29">
        <v>12</v>
      </c>
      <c r="AG15" s="24">
        <f>H15*'Conversion Technologies'!$I$8</f>
        <v>6.224558823529412E-3</v>
      </c>
      <c r="AH15" s="24">
        <f>I15*'Conversion Technologies'!$I$8</f>
        <v>6.2245588235294122E-2</v>
      </c>
      <c r="AI15" s="24">
        <f>J15*'Conversion Technologies'!$I$8</f>
        <v>0.12449117647058824</v>
      </c>
      <c r="AJ15" s="24"/>
      <c r="AK15" s="29">
        <v>12</v>
      </c>
      <c r="AL15" s="24">
        <f>(Q45+R45)*'Conversion Technologies'!$I$21</f>
        <v>1.0345500000000001E-2</v>
      </c>
      <c r="AN15" s="29">
        <v>12</v>
      </c>
      <c r="AO15" s="32">
        <f>-W15*tariffs[[#This Row],[Building 1 (sell)]]</f>
        <v>0</v>
      </c>
      <c r="AP15" s="32">
        <f>-X15*tariffs[[#This Row],[Building 2 (sell)]]</f>
        <v>0</v>
      </c>
      <c r="AQ15" s="32">
        <f>-Y15*tariffs[[#This Row],[Building 3 (sell)]]</f>
        <v>0</v>
      </c>
      <c r="AS15" s="29">
        <v>12</v>
      </c>
      <c r="AT15" s="24">
        <f>V44*'Conversion Technologies'!$E$2</f>
        <v>0</v>
      </c>
      <c r="AU15" s="24">
        <f>final_electricity__161924263031329[[#This Row],[ Building 1 (kWh)2]]*'Conversion Technologies'!$E$2</f>
        <v>55.336760000000005</v>
      </c>
      <c r="AV15" s="24">
        <f>final_electricity__161924263031329[[#This Row],[ Building 1 (kWh)3]]*'Conversion Technologies'!$E$2</f>
        <v>79.422320000000013</v>
      </c>
    </row>
    <row r="16" spans="1:57" x14ac:dyDescent="0.35">
      <c r="A16" s="29">
        <v>13</v>
      </c>
      <c r="B16" s="24">
        <f>final_electricity__161924[[#This Row],[ Building 1 (kWh)]]+final_electricity__16192425[[#This Row],[Total]]</f>
        <v>0.106</v>
      </c>
      <c r="C16" s="24">
        <f>final_electricity__161924[[#This Row],[Building 2 (kWh)]]</f>
        <v>298.416</v>
      </c>
      <c r="D16" s="24">
        <f>final_electricity__161924[[#This Row],[Building 3 (kWh)]]</f>
        <v>372.48899999999998</v>
      </c>
      <c r="E16" s="24">
        <f>SUM(final_electricity__161924263039[[#This Row],[ Building 1 (kWh)]]:final_electricity__161924263039[[#This Row],[Building 3 (kWh)]])</f>
        <v>671.01099999999997</v>
      </c>
      <c r="G16" s="29">
        <v>13</v>
      </c>
      <c r="H16" s="24">
        <f>final_electricity__118[[#This Row],[Generation]]/1000*('Conversion Technologies'!$I$11/('Conversion Technologies'!$I$2/1000))</f>
        <v>0.23673</v>
      </c>
      <c r="I16" s="24">
        <f>('Conversion Technologies'!$I$12/'Conversion Technologies'!$I$11)*H16</f>
        <v>2.3673000000000002</v>
      </c>
      <c r="J16" s="24">
        <f>('Conversion Technologies'!$I$13/'Conversion Technologies'!$I$11)*H16</f>
        <v>4.7346000000000004</v>
      </c>
      <c r="K16" s="24">
        <f>SUM(final_electricity__16192426303140[[#This Row],[ Building 1 (kWh)]]:final_electricity__16192426303140[[#This Row],[Building 3 (kWh)]])</f>
        <v>7.3386300000000002</v>
      </c>
      <c r="M16" s="29">
        <v>13</v>
      </c>
      <c r="N16" s="32">
        <f t="shared" si="0"/>
        <v>0.13073000000000001</v>
      </c>
      <c r="O16" s="36">
        <f>SUM($N$3:N16)/$I$36</f>
        <v>0.10892500000000001</v>
      </c>
      <c r="Q16" s="29">
        <v>13</v>
      </c>
      <c r="R16" s="24">
        <f t="shared" si="1"/>
        <v>0</v>
      </c>
      <c r="S16" s="24">
        <f t="shared" si="2"/>
        <v>296.0487</v>
      </c>
      <c r="T16" s="24">
        <f t="shared" si="3"/>
        <v>367.75439999999998</v>
      </c>
      <c r="V16" s="29">
        <v>13</v>
      </c>
      <c r="W16" s="24">
        <f t="shared" si="4"/>
        <v>0</v>
      </c>
      <c r="X16" s="24">
        <f t="shared" si="5"/>
        <v>0</v>
      </c>
      <c r="Y16" s="24">
        <f t="shared" si="6"/>
        <v>0</v>
      </c>
      <c r="AA16" s="29">
        <v>13</v>
      </c>
      <c r="AB16" s="24">
        <f>V45*tariffs[[#This Row],[Building 1 (buy)]]</f>
        <v>0</v>
      </c>
      <c r="AC16" s="24">
        <f>W45*tariffs[[#This Row],[Building 2 (buy)]]</f>
        <v>46.450041030000001</v>
      </c>
      <c r="AD16" s="24">
        <f>X45*tariffs[[#This Row],[Building 3 (buy)]]</f>
        <v>61.56208655999999</v>
      </c>
      <c r="AF16" s="29">
        <v>13</v>
      </c>
      <c r="AG16" s="24">
        <f>H16*'Conversion Technologies'!$I$8</f>
        <v>7.8329779411764697E-3</v>
      </c>
      <c r="AH16" s="24">
        <f>I16*'Conversion Technologies'!$I$8</f>
        <v>7.8329779411764708E-2</v>
      </c>
      <c r="AI16" s="24">
        <f>J16*'Conversion Technologies'!$I$8</f>
        <v>0.15665955882352942</v>
      </c>
      <c r="AJ16" s="24"/>
      <c r="AK16" s="29">
        <v>13</v>
      </c>
      <c r="AL16" s="24">
        <f>(Q46+R46)*'Conversion Technologies'!$I$21</f>
        <v>1.5524187500000002E-2</v>
      </c>
      <c r="AN16" s="29">
        <v>13</v>
      </c>
      <c r="AO16" s="32">
        <f>-W16*tariffs[[#This Row],[Building 1 (sell)]]</f>
        <v>0</v>
      </c>
      <c r="AP16" s="32">
        <f>-X16*tariffs[[#This Row],[Building 2 (sell)]]</f>
        <v>0</v>
      </c>
      <c r="AQ16" s="32">
        <f>-Y16*tariffs[[#This Row],[Building 3 (sell)]]</f>
        <v>0</v>
      </c>
      <c r="AS16" s="29">
        <v>13</v>
      </c>
      <c r="AT16" s="24">
        <f>V45*'Conversion Technologies'!$E$2</f>
        <v>0</v>
      </c>
      <c r="AU16" s="24">
        <f>final_electricity__161924263031329[[#This Row],[ Building 1 (kWh)2]]*'Conversion Technologies'!$E$2</f>
        <v>59.209740000000004</v>
      </c>
      <c r="AV16" s="24">
        <f>final_electricity__161924263031329[[#This Row],[ Building 1 (kWh)3]]*'Conversion Technologies'!$E$2</f>
        <v>73.550879999999992</v>
      </c>
    </row>
    <row r="17" spans="1:48" x14ac:dyDescent="0.35">
      <c r="A17" s="29">
        <v>14</v>
      </c>
      <c r="B17" s="24">
        <f>final_electricity__161924[[#This Row],[ Building 1 (kWh)]]+final_electricity__16192425[[#This Row],[Total]]</f>
        <v>0.17499999999999999</v>
      </c>
      <c r="C17" s="24">
        <f>final_electricity__161924[[#This Row],[Building 2 (kWh)]]</f>
        <v>322.815</v>
      </c>
      <c r="D17" s="24">
        <f>final_electricity__161924[[#This Row],[Building 3 (kWh)]]</f>
        <v>357.63299999999998</v>
      </c>
      <c r="E17" s="24">
        <f>SUM(final_electricity__161924263039[[#This Row],[ Building 1 (kWh)]]:final_electricity__161924263039[[#This Row],[Building 3 (kWh)]])</f>
        <v>680.62300000000005</v>
      </c>
      <c r="G17" s="29">
        <v>14</v>
      </c>
      <c r="H17" s="24">
        <f>final_electricity__118[[#This Row],[Generation]]/1000*('Conversion Technologies'!$I$11/('Conversion Technologies'!$I$2/1000))</f>
        <v>0.19637000000000002</v>
      </c>
      <c r="I17" s="24">
        <f>('Conversion Technologies'!$I$12/'Conversion Technologies'!$I$11)*H17</f>
        <v>1.9637000000000002</v>
      </c>
      <c r="J17" s="24">
        <f>('Conversion Technologies'!$I$13/'Conversion Technologies'!$I$11)*H17</f>
        <v>3.9274000000000004</v>
      </c>
      <c r="K17" s="24">
        <f>SUM(final_electricity__16192426303140[[#This Row],[ Building 1 (kWh)]]:final_electricity__16192426303140[[#This Row],[Building 3 (kWh)]])</f>
        <v>6.0874700000000006</v>
      </c>
      <c r="M17" s="29">
        <v>14</v>
      </c>
      <c r="N17" s="32">
        <f t="shared" si="0"/>
        <v>2.1370000000000028E-2</v>
      </c>
      <c r="O17" s="36">
        <f>SUM($N$3:N17)/$I$36</f>
        <v>0.11961000000000002</v>
      </c>
      <c r="Q17" s="29">
        <v>14</v>
      </c>
      <c r="R17" s="24">
        <f t="shared" si="1"/>
        <v>0</v>
      </c>
      <c r="S17" s="24">
        <f t="shared" si="2"/>
        <v>320.85129999999998</v>
      </c>
      <c r="T17" s="24">
        <f t="shared" si="3"/>
        <v>353.7056</v>
      </c>
      <c r="V17" s="29">
        <v>14</v>
      </c>
      <c r="W17" s="24">
        <f t="shared" si="4"/>
        <v>0</v>
      </c>
      <c r="X17" s="24">
        <f t="shared" si="5"/>
        <v>0</v>
      </c>
      <c r="Y17" s="24">
        <f t="shared" si="6"/>
        <v>0</v>
      </c>
      <c r="AA17" s="29">
        <v>14</v>
      </c>
      <c r="AB17" s="24">
        <f>V46*tariffs[[#This Row],[Building 1 (buy)]]</f>
        <v>0</v>
      </c>
      <c r="AC17" s="24">
        <f>W46*tariffs[[#This Row],[Building 2 (buy)]]</f>
        <v>50.341568969999997</v>
      </c>
      <c r="AD17" s="24">
        <f>X46*tariffs[[#This Row],[Building 3 (buy)]]</f>
        <v>59.210317439999997</v>
      </c>
      <c r="AF17" s="29">
        <v>14</v>
      </c>
      <c r="AG17" s="24">
        <f>H17*'Conversion Technologies'!$I$8</f>
        <v>6.4975367647058828E-3</v>
      </c>
      <c r="AH17" s="24">
        <f>I17*'Conversion Technologies'!$I$8</f>
        <v>6.4975367647058829E-2</v>
      </c>
      <c r="AI17" s="24">
        <f>J17*'Conversion Technologies'!$I$8</f>
        <v>0.12995073529411766</v>
      </c>
      <c r="AJ17" s="24"/>
      <c r="AK17" s="29">
        <v>14</v>
      </c>
      <c r="AL17" s="24">
        <f>(Q47+R47)*'Conversion Technologies'!$I$21</f>
        <v>2.537687500000003E-3</v>
      </c>
      <c r="AN17" s="29">
        <v>14</v>
      </c>
      <c r="AO17" s="32">
        <f>-W17*tariffs[[#This Row],[Building 1 (sell)]]</f>
        <v>0</v>
      </c>
      <c r="AP17" s="32">
        <f>-X17*tariffs[[#This Row],[Building 2 (sell)]]</f>
        <v>0</v>
      </c>
      <c r="AQ17" s="32">
        <f>-Y17*tariffs[[#This Row],[Building 3 (sell)]]</f>
        <v>0</v>
      </c>
      <c r="AS17" s="29">
        <v>14</v>
      </c>
      <c r="AT17" s="24">
        <f>V46*'Conversion Technologies'!$E$2</f>
        <v>0</v>
      </c>
      <c r="AU17" s="24">
        <f>final_electricity__161924263031329[[#This Row],[ Building 1 (kWh)2]]*'Conversion Technologies'!$E$2</f>
        <v>64.170259999999999</v>
      </c>
      <c r="AV17" s="24">
        <f>final_electricity__161924263031329[[#This Row],[ Building 1 (kWh)3]]*'Conversion Technologies'!$E$2</f>
        <v>70.741120000000009</v>
      </c>
    </row>
    <row r="18" spans="1:48" x14ac:dyDescent="0.35">
      <c r="A18" s="29">
        <v>15</v>
      </c>
      <c r="B18" s="24">
        <f>final_electricity__161924[[#This Row],[ Building 1 (kWh)]]+final_electricity__16192425[[#This Row],[Total]]</f>
        <v>0.23200000000000001</v>
      </c>
      <c r="C18" s="24">
        <f>final_electricity__161924[[#This Row],[Building 2 (kWh)]]</f>
        <v>325.81900000000002</v>
      </c>
      <c r="D18" s="24">
        <f>final_electricity__161924[[#This Row],[Building 3 (kWh)]]</f>
        <v>367.19799999999998</v>
      </c>
      <c r="E18" s="24">
        <f>SUM(final_electricity__161924263039[[#This Row],[ Building 1 (kWh)]]:final_electricity__161924263039[[#This Row],[Building 3 (kWh)]])</f>
        <v>693.24900000000002</v>
      </c>
      <c r="G18" s="29">
        <v>15</v>
      </c>
      <c r="H18" s="24">
        <f>final_electricity__118[[#This Row],[Generation]]/1000*('Conversion Technologies'!$I$11/('Conversion Technologies'!$I$2/1000))</f>
        <v>0.19963999999999998</v>
      </c>
      <c r="I18" s="24">
        <f>('Conversion Technologies'!$I$12/'Conversion Technologies'!$I$11)*H18</f>
        <v>1.9964</v>
      </c>
      <c r="J18" s="24">
        <f>('Conversion Technologies'!$I$13/'Conversion Technologies'!$I$11)*H18</f>
        <v>3.9927999999999999</v>
      </c>
      <c r="K18" s="24">
        <f>SUM(final_electricity__16192426303140[[#This Row],[ Building 1 (kWh)]]:final_electricity__16192426303140[[#This Row],[Building 3 (kWh)]])</f>
        <v>6.1888399999999999</v>
      </c>
      <c r="M18" s="29">
        <v>15</v>
      </c>
      <c r="N18" s="32">
        <f t="shared" si="0"/>
        <v>0</v>
      </c>
      <c r="O18" s="36">
        <f>SUM($N$3:N18)/$I$36</f>
        <v>0.11961000000000002</v>
      </c>
      <c r="Q18" s="29">
        <v>15</v>
      </c>
      <c r="R18" s="24">
        <f t="shared" si="1"/>
        <v>3.2360000000000028E-2</v>
      </c>
      <c r="S18" s="24">
        <f t="shared" si="2"/>
        <v>323.82260000000002</v>
      </c>
      <c r="T18" s="24">
        <f t="shared" si="3"/>
        <v>363.20519999999999</v>
      </c>
      <c r="V18" s="29">
        <v>15</v>
      </c>
      <c r="W18" s="24">
        <f t="shared" si="4"/>
        <v>0</v>
      </c>
      <c r="X18" s="24">
        <f t="shared" si="5"/>
        <v>0</v>
      </c>
      <c r="Y18" s="24">
        <f t="shared" si="6"/>
        <v>0</v>
      </c>
      <c r="AA18" s="29">
        <v>15</v>
      </c>
      <c r="AB18" s="24">
        <f>V47*tariffs[[#This Row],[Building 1 (buy)]]</f>
        <v>0</v>
      </c>
      <c r="AC18" s="24">
        <f>W47*tariffs[[#This Row],[Building 2 (buy)]]</f>
        <v>50.80776594000001</v>
      </c>
      <c r="AD18" s="24">
        <f>X47*tariffs[[#This Row],[Building 3 (buy)]]</f>
        <v>60.800550479999998</v>
      </c>
      <c r="AF18" s="29">
        <v>15</v>
      </c>
      <c r="AG18" s="24">
        <f>H18*'Conversion Technologies'!$I$8</f>
        <v>6.6057352941176466E-3</v>
      </c>
      <c r="AH18" s="24">
        <f>I18*'Conversion Technologies'!$I$8</f>
        <v>6.605735294117647E-2</v>
      </c>
      <c r="AI18" s="24">
        <f>J18*'Conversion Technologies'!$I$8</f>
        <v>0.13211470588235294</v>
      </c>
      <c r="AJ18" s="24"/>
      <c r="AK18" s="29">
        <v>15</v>
      </c>
      <c r="AL18" s="24">
        <f>(Q48+R48)*'Conversion Technologies'!$I$21</f>
        <v>4.2578947368421089E-3</v>
      </c>
      <c r="AN18" s="29">
        <v>15</v>
      </c>
      <c r="AO18" s="32">
        <f>-W18*tariffs[[#This Row],[Building 1 (sell)]]</f>
        <v>0</v>
      </c>
      <c r="AP18" s="32">
        <f>-X18*tariffs[[#This Row],[Building 2 (sell)]]</f>
        <v>0</v>
      </c>
      <c r="AQ18" s="32">
        <f>-Y18*tariffs[[#This Row],[Building 3 (sell)]]</f>
        <v>0</v>
      </c>
      <c r="AS18" s="29">
        <v>15</v>
      </c>
      <c r="AT18" s="24">
        <f>V47*'Conversion Technologies'!$E$2</f>
        <v>0</v>
      </c>
      <c r="AU18" s="24">
        <f>final_electricity__161924263031329[[#This Row],[ Building 1 (kWh)2]]*'Conversion Technologies'!$E$2</f>
        <v>64.764520000000005</v>
      </c>
      <c r="AV18" s="24">
        <f>final_electricity__161924263031329[[#This Row],[ Building 1 (kWh)3]]*'Conversion Technologies'!$E$2</f>
        <v>72.641040000000004</v>
      </c>
    </row>
    <row r="19" spans="1:48" x14ac:dyDescent="0.35">
      <c r="A19" s="29">
        <v>16</v>
      </c>
      <c r="B19" s="24">
        <f>final_electricity__161924[[#This Row],[ Building 1 (kWh)]]+final_electricity__16192425[[#This Row],[Total]]</f>
        <v>0.161</v>
      </c>
      <c r="C19" s="24">
        <f>final_electricity__161924[[#This Row],[Building 2 (kWh)]]</f>
        <v>305.94099999999997</v>
      </c>
      <c r="D19" s="24">
        <f>final_electricity__161924[[#This Row],[Building 3 (kWh)]]</f>
        <v>356.8</v>
      </c>
      <c r="E19" s="24">
        <f>SUM(final_electricity__161924263039[[#This Row],[ Building 1 (kWh)]]:final_electricity__161924263039[[#This Row],[Building 3 (kWh)]])</f>
        <v>662.90200000000004</v>
      </c>
      <c r="G19" s="29">
        <v>16</v>
      </c>
      <c r="H19" s="24">
        <f>final_electricity__118[[#This Row],[Generation]]/1000*('Conversion Technologies'!$I$11/('Conversion Technologies'!$I$2/1000))</f>
        <v>0.18173000000000003</v>
      </c>
      <c r="I19" s="24">
        <f>('Conversion Technologies'!$I$12/'Conversion Technologies'!$I$11)*H19</f>
        <v>1.8173000000000004</v>
      </c>
      <c r="J19" s="24">
        <f>('Conversion Technologies'!$I$13/'Conversion Technologies'!$I$11)*H19</f>
        <v>3.6346000000000007</v>
      </c>
      <c r="K19" s="24">
        <f>SUM(final_electricity__16192426303140[[#This Row],[ Building 1 (kWh)]]:final_electricity__16192426303140[[#This Row],[Building 3 (kWh)]])</f>
        <v>5.633630000000001</v>
      </c>
      <c r="M19" s="29">
        <v>16</v>
      </c>
      <c r="N19" s="32">
        <f t="shared" si="0"/>
        <v>2.0730000000000026E-2</v>
      </c>
      <c r="O19" s="36">
        <f>SUM($N$3:N19)/$I$36</f>
        <v>0.12997500000000003</v>
      </c>
      <c r="Q19" s="29">
        <v>16</v>
      </c>
      <c r="R19" s="24">
        <f t="shared" si="1"/>
        <v>0</v>
      </c>
      <c r="S19" s="24">
        <f t="shared" si="2"/>
        <v>304.12369999999999</v>
      </c>
      <c r="T19" s="24">
        <f t="shared" si="3"/>
        <v>353.16540000000003</v>
      </c>
      <c r="V19" s="29">
        <v>16</v>
      </c>
      <c r="W19" s="24">
        <f t="shared" si="4"/>
        <v>0</v>
      </c>
      <c r="X19" s="24">
        <f t="shared" si="5"/>
        <v>0</v>
      </c>
      <c r="Y19" s="24">
        <f t="shared" si="6"/>
        <v>0</v>
      </c>
      <c r="AA19" s="29">
        <v>16</v>
      </c>
      <c r="AB19" s="24">
        <f>V48*tariffs[[#This Row],[Building 1 (buy)]]</f>
        <v>0</v>
      </c>
      <c r="AC19" s="24">
        <f>W48*tariffs[[#This Row],[Building 2 (buy)]]</f>
        <v>47.717008530000001</v>
      </c>
      <c r="AD19" s="24">
        <f>X48*tariffs[[#This Row],[Building 3 (buy)]]</f>
        <v>59.11988796</v>
      </c>
      <c r="AF19" s="29">
        <v>16</v>
      </c>
      <c r="AG19" s="24">
        <f>H19*'Conversion Technologies'!$I$8</f>
        <v>6.0131250000000011E-3</v>
      </c>
      <c r="AH19" s="24">
        <f>I19*'Conversion Technologies'!$I$8</f>
        <v>6.0131250000000011E-2</v>
      </c>
      <c r="AI19" s="24">
        <f>J19*'Conversion Technologies'!$I$8</f>
        <v>0.12026250000000002</v>
      </c>
      <c r="AJ19" s="24"/>
      <c r="AK19" s="29">
        <v>16</v>
      </c>
      <c r="AL19" s="24">
        <f>(Q49+R49)*'Conversion Technologies'!$I$21</f>
        <v>2.4616875000000029E-3</v>
      </c>
      <c r="AN19" s="29">
        <v>16</v>
      </c>
      <c r="AO19" s="32">
        <f>-W19*tariffs[[#This Row],[Building 1 (sell)]]</f>
        <v>0</v>
      </c>
      <c r="AP19" s="32">
        <f>-X19*tariffs[[#This Row],[Building 2 (sell)]]</f>
        <v>0</v>
      </c>
      <c r="AQ19" s="32">
        <f>-Y19*tariffs[[#This Row],[Building 3 (sell)]]</f>
        <v>0</v>
      </c>
      <c r="AS19" s="29">
        <v>16</v>
      </c>
      <c r="AT19" s="24">
        <f>V48*'Conversion Technologies'!$E$2</f>
        <v>0</v>
      </c>
      <c r="AU19" s="24">
        <f>final_electricity__161924263031329[[#This Row],[ Building 1 (kWh)2]]*'Conversion Technologies'!$E$2</f>
        <v>60.824739999999998</v>
      </c>
      <c r="AV19" s="24">
        <f>final_electricity__161924263031329[[#This Row],[ Building 1 (kWh)3]]*'Conversion Technologies'!$E$2</f>
        <v>70.633080000000007</v>
      </c>
    </row>
    <row r="20" spans="1:48" x14ac:dyDescent="0.35">
      <c r="A20" s="29">
        <v>17</v>
      </c>
      <c r="B20" s="24">
        <f>final_electricity__161924[[#This Row],[ Building 1 (kWh)]]+final_electricity__16192425[[#This Row],[Total]]</f>
        <v>0.28699999999999998</v>
      </c>
      <c r="C20" s="24">
        <f>final_electricity__161924[[#This Row],[Building 2 (kWh)]]</f>
        <v>272.05799999999999</v>
      </c>
      <c r="D20" s="24">
        <f>final_electricity__161924[[#This Row],[Building 3 (kWh)]]</f>
        <v>330.608</v>
      </c>
      <c r="E20" s="24">
        <f>SUM(final_electricity__161924263039[[#This Row],[ Building 1 (kWh)]]:final_electricity__161924263039[[#This Row],[Building 3 (kWh)]])</f>
        <v>602.95299999999997</v>
      </c>
      <c r="G20" s="29">
        <v>17</v>
      </c>
      <c r="H20" s="24">
        <f>final_electricity__118[[#This Row],[Generation]]/1000*('Conversion Technologies'!$I$11/('Conversion Technologies'!$I$2/1000))</f>
        <v>0.17837</v>
      </c>
      <c r="I20" s="24">
        <f>('Conversion Technologies'!$I$12/'Conversion Technologies'!$I$11)*H20</f>
        <v>1.7837000000000001</v>
      </c>
      <c r="J20" s="24">
        <f>('Conversion Technologies'!$I$13/'Conversion Technologies'!$I$11)*H20</f>
        <v>3.5674000000000001</v>
      </c>
      <c r="K20" s="24">
        <f>SUM(final_electricity__16192426303140[[#This Row],[ Building 1 (kWh)]]:final_electricity__16192426303140[[#This Row],[Building 3 (kWh)]])</f>
        <v>5.5294699999999999</v>
      </c>
      <c r="M20" s="29">
        <v>17</v>
      </c>
      <c r="N20" s="32">
        <f t="shared" si="0"/>
        <v>0</v>
      </c>
      <c r="O20" s="36">
        <f>SUM($N$3:N20)/$I$36</f>
        <v>0.12997500000000003</v>
      </c>
      <c r="Q20" s="29">
        <v>17</v>
      </c>
      <c r="R20" s="24">
        <f t="shared" si="1"/>
        <v>0.10862999999999998</v>
      </c>
      <c r="S20" s="24">
        <f t="shared" si="2"/>
        <v>270.27429999999998</v>
      </c>
      <c r="T20" s="24">
        <f t="shared" si="3"/>
        <v>327.04059999999998</v>
      </c>
      <c r="V20" s="29">
        <v>17</v>
      </c>
      <c r="W20" s="24">
        <f t="shared" si="4"/>
        <v>0</v>
      </c>
      <c r="X20" s="24">
        <f t="shared" si="5"/>
        <v>0</v>
      </c>
      <c r="Y20" s="24">
        <f t="shared" si="6"/>
        <v>0</v>
      </c>
      <c r="AA20" s="29">
        <v>17</v>
      </c>
      <c r="AB20" s="24">
        <f>V49*tariffs[[#This Row],[Building 1 (buy)]]</f>
        <v>0</v>
      </c>
      <c r="AC20" s="24">
        <f>W49*tariffs[[#This Row],[Building 2 (buy)]]</f>
        <v>42.406037670000003</v>
      </c>
      <c r="AD20" s="24">
        <f>X49*tariffs[[#This Row],[Building 3 (buy)]]</f>
        <v>54.746596439999998</v>
      </c>
      <c r="AF20" s="29">
        <v>17</v>
      </c>
      <c r="AG20" s="24">
        <f>H20*'Conversion Technologies'!$I$8</f>
        <v>5.901948529411765E-3</v>
      </c>
      <c r="AH20" s="24">
        <f>I20*'Conversion Technologies'!$I$8</f>
        <v>5.901948529411765E-2</v>
      </c>
      <c r="AI20" s="24">
        <f>J20*'Conversion Technologies'!$I$8</f>
        <v>0.1180389705882353</v>
      </c>
      <c r="AJ20" s="24"/>
      <c r="AK20" s="29">
        <v>17</v>
      </c>
      <c r="AL20" s="24">
        <f>(Q50+R50)*'Conversion Technologies'!$I$21</f>
        <v>1.4293421052631577E-2</v>
      </c>
      <c r="AN20" s="29">
        <v>17</v>
      </c>
      <c r="AO20" s="32">
        <f>-W20*tariffs[[#This Row],[Building 1 (sell)]]</f>
        <v>0</v>
      </c>
      <c r="AP20" s="32">
        <f>-X20*tariffs[[#This Row],[Building 2 (sell)]]</f>
        <v>0</v>
      </c>
      <c r="AQ20" s="32">
        <f>-Y20*tariffs[[#This Row],[Building 3 (sell)]]</f>
        <v>0</v>
      </c>
      <c r="AS20" s="29">
        <v>17</v>
      </c>
      <c r="AT20" s="24">
        <f>V49*'Conversion Technologies'!$E$2</f>
        <v>0</v>
      </c>
      <c r="AU20" s="24">
        <f>final_electricity__161924263031329[[#This Row],[ Building 1 (kWh)2]]*'Conversion Technologies'!$E$2</f>
        <v>54.054859999999998</v>
      </c>
      <c r="AV20" s="24">
        <f>final_electricity__161924263031329[[#This Row],[ Building 1 (kWh)3]]*'Conversion Technologies'!$E$2</f>
        <v>65.408119999999997</v>
      </c>
    </row>
    <row r="21" spans="1:48" x14ac:dyDescent="0.35">
      <c r="A21" s="29">
        <v>18</v>
      </c>
      <c r="B21" s="24">
        <f>final_electricity__161924[[#This Row],[ Building 1 (kWh)]]+final_electricity__16192425[[#This Row],[Total]]</f>
        <v>0.30199999999999999</v>
      </c>
      <c r="C21" s="24">
        <f>final_electricity__161924[[#This Row],[Building 2 (kWh)]]</f>
        <v>225.411</v>
      </c>
      <c r="D21" s="24">
        <f>final_electricity__161924[[#This Row],[Building 3 (kWh)]]</f>
        <v>282.596</v>
      </c>
      <c r="E21" s="24">
        <f>SUM(final_electricity__161924263039[[#This Row],[ Building 1 (kWh)]]:final_electricity__161924263039[[#This Row],[Building 3 (kWh)]])</f>
        <v>508.30899999999997</v>
      </c>
      <c r="G21" s="29">
        <v>18</v>
      </c>
      <c r="H21" s="24">
        <f>final_electricity__118[[#This Row],[Generation]]/1000*('Conversion Technologies'!$I$11/('Conversion Technologies'!$I$2/1000))</f>
        <v>0.15211000000000002</v>
      </c>
      <c r="I21" s="24">
        <f>('Conversion Technologies'!$I$12/'Conversion Technologies'!$I$11)*H21</f>
        <v>1.5211000000000001</v>
      </c>
      <c r="J21" s="24">
        <f>('Conversion Technologies'!$I$13/'Conversion Technologies'!$I$11)*H21</f>
        <v>3.0422000000000002</v>
      </c>
      <c r="K21" s="24">
        <f>SUM(final_electricity__16192426303140[[#This Row],[ Building 1 (kWh)]]:final_electricity__16192426303140[[#This Row],[Building 3 (kWh)]])</f>
        <v>4.7154100000000003</v>
      </c>
      <c r="M21" s="29">
        <v>18</v>
      </c>
      <c r="N21" s="32">
        <f t="shared" si="0"/>
        <v>0</v>
      </c>
      <c r="O21" s="36">
        <f>SUM($N$3:N21)/$I$36</f>
        <v>0.12997500000000003</v>
      </c>
      <c r="Q21" s="29">
        <v>18</v>
      </c>
      <c r="R21" s="24">
        <f t="shared" si="1"/>
        <v>0.14988999999999997</v>
      </c>
      <c r="S21" s="24">
        <f t="shared" si="2"/>
        <v>223.88990000000001</v>
      </c>
      <c r="T21" s="24">
        <f t="shared" si="3"/>
        <v>279.55380000000002</v>
      </c>
      <c r="V21" s="29">
        <v>18</v>
      </c>
      <c r="W21" s="24">
        <f t="shared" si="4"/>
        <v>0</v>
      </c>
      <c r="X21" s="24">
        <f t="shared" si="5"/>
        <v>0</v>
      </c>
      <c r="Y21" s="24">
        <f t="shared" si="6"/>
        <v>0</v>
      </c>
      <c r="AA21" s="29">
        <v>18</v>
      </c>
      <c r="AB21" s="24">
        <f>V50*tariffs[[#This Row],[Building 1 (buy)]]</f>
        <v>1.1007414449999985E-2</v>
      </c>
      <c r="AC21" s="24">
        <f>W50*tariffs[[#This Row],[Building 2 (buy)]]</f>
        <v>35.128325310000001</v>
      </c>
      <c r="AD21" s="24">
        <f>X50*tariffs[[#This Row],[Building 3 (buy)]]</f>
        <v>46.797306120000002</v>
      </c>
      <c r="AF21" s="29">
        <v>18</v>
      </c>
      <c r="AG21" s="24">
        <f>H21*'Conversion Technologies'!$I$8</f>
        <v>5.0330514705882361E-3</v>
      </c>
      <c r="AH21" s="24">
        <f>I21*'Conversion Technologies'!$I$8</f>
        <v>5.0330514705882359E-2</v>
      </c>
      <c r="AI21" s="24">
        <f>J21*'Conversion Technologies'!$I$8</f>
        <v>0.10066102941176472</v>
      </c>
      <c r="AJ21" s="24"/>
      <c r="AK21" s="29">
        <v>18</v>
      </c>
      <c r="AL21" s="24">
        <f>(Q51+R51)*'Conversion Technologies'!$I$21</f>
        <v>1.2317746710526323E-2</v>
      </c>
      <c r="AN21" s="29">
        <v>18</v>
      </c>
      <c r="AO21" s="32">
        <f>-W21*tariffs[[#This Row],[Building 1 (sell)]]</f>
        <v>0</v>
      </c>
      <c r="AP21" s="32">
        <f>-X21*tariffs[[#This Row],[Building 2 (sell)]]</f>
        <v>0</v>
      </c>
      <c r="AQ21" s="32">
        <f>-Y21*tariffs[[#This Row],[Building 3 (sell)]]</f>
        <v>0</v>
      </c>
      <c r="AS21" s="29">
        <v>18</v>
      </c>
      <c r="AT21" s="24">
        <f>V50*'Conversion Technologies'!$E$2</f>
        <v>1.1255024999999986E-2</v>
      </c>
      <c r="AU21" s="24">
        <f>final_electricity__161924263031329[[#This Row],[ Building 1 (kWh)2]]*'Conversion Technologies'!$E$2</f>
        <v>44.777980000000007</v>
      </c>
      <c r="AV21" s="24">
        <f>final_electricity__161924263031329[[#This Row],[ Building 1 (kWh)3]]*'Conversion Technologies'!$E$2</f>
        <v>55.91076000000001</v>
      </c>
    </row>
    <row r="22" spans="1:48" x14ac:dyDescent="0.35">
      <c r="A22" s="29">
        <v>19</v>
      </c>
      <c r="B22" s="24">
        <f>final_electricity__161924[[#This Row],[ Building 1 (kWh)]]+final_electricity__16192425[[#This Row],[Total]]</f>
        <v>0.154</v>
      </c>
      <c r="C22" s="24">
        <f>final_electricity__161924[[#This Row],[Building 2 (kWh)]]</f>
        <v>200.375</v>
      </c>
      <c r="D22" s="24">
        <f>final_electricity__161924[[#This Row],[Building 3 (kWh)]]</f>
        <v>220.05699999999999</v>
      </c>
      <c r="E22" s="24">
        <f>SUM(final_electricity__161924263039[[#This Row],[ Building 1 (kWh)]]:final_electricity__161924263039[[#This Row],[Building 3 (kWh)]])</f>
        <v>420.58600000000001</v>
      </c>
      <c r="G22" s="29">
        <v>19</v>
      </c>
      <c r="H22" s="24">
        <f>final_electricity__118[[#This Row],[Generation]]/1000*('Conversion Technologies'!$I$11/('Conversion Technologies'!$I$2/1000))</f>
        <v>0</v>
      </c>
      <c r="I22" s="24">
        <f>('Conversion Technologies'!$I$12/'Conversion Technologies'!$I$11)*H22</f>
        <v>0</v>
      </c>
      <c r="J22" s="24">
        <f>('Conversion Technologies'!$I$13/'Conversion Technologies'!$I$11)*H22</f>
        <v>0</v>
      </c>
      <c r="K22" s="24">
        <f>SUM(final_electricity__16192426303140[[#This Row],[ Building 1 (kWh)]]:final_electricity__16192426303140[[#This Row],[Building 3 (kWh)]])</f>
        <v>0</v>
      </c>
      <c r="M22" s="29">
        <v>19</v>
      </c>
      <c r="N22" s="32">
        <f t="shared" si="0"/>
        <v>0</v>
      </c>
      <c r="O22" s="36">
        <f>SUM($N$3:N22)/$I$36</f>
        <v>0.12997500000000003</v>
      </c>
      <c r="Q22" s="29">
        <v>19</v>
      </c>
      <c r="R22" s="24">
        <f t="shared" si="1"/>
        <v>0.154</v>
      </c>
      <c r="S22" s="24">
        <f t="shared" si="2"/>
        <v>200.375</v>
      </c>
      <c r="T22" s="24">
        <f t="shared" si="3"/>
        <v>220.05699999999999</v>
      </c>
      <c r="V22" s="29">
        <v>19</v>
      </c>
      <c r="W22" s="24">
        <f t="shared" si="4"/>
        <v>0</v>
      </c>
      <c r="X22" s="24">
        <f t="shared" si="5"/>
        <v>0</v>
      </c>
      <c r="Y22" s="24">
        <f t="shared" si="6"/>
        <v>0</v>
      </c>
      <c r="AA22" s="29">
        <v>19</v>
      </c>
      <c r="AB22" s="24">
        <f>V51*tariffs[[#This Row],[Building 1 (buy)]]</f>
        <v>3.0122400000000001E-2</v>
      </c>
      <c r="AC22" s="24">
        <f>W51*tariffs[[#This Row],[Building 2 (buy)]]</f>
        <v>35.185850000000002</v>
      </c>
      <c r="AD22" s="24">
        <f>X51*tariffs[[#This Row],[Building 3 (buy)]]</f>
        <v>38.620003499999996</v>
      </c>
      <c r="AF22" s="29">
        <v>19</v>
      </c>
      <c r="AG22" s="24">
        <f>H22*'Conversion Technologies'!$I$8</f>
        <v>0</v>
      </c>
      <c r="AH22" s="24">
        <f>I22*'Conversion Technologies'!$I$8</f>
        <v>0</v>
      </c>
      <c r="AI22" s="24">
        <f>J22*'Conversion Technologies'!$I$8</f>
        <v>0</v>
      </c>
      <c r="AJ22" s="24"/>
      <c r="AK22" s="29">
        <v>19</v>
      </c>
      <c r="AL22" s="24">
        <f>(Q52+R52)*'Conversion Technologies'!$I$21</f>
        <v>0</v>
      </c>
      <c r="AN22" s="29">
        <v>19</v>
      </c>
      <c r="AO22" s="32">
        <f>-W22*tariffs[[#This Row],[Building 1 (sell)]]</f>
        <v>0</v>
      </c>
      <c r="AP22" s="32">
        <f>-X22*tariffs[[#This Row],[Building 2 (sell)]]</f>
        <v>0</v>
      </c>
      <c r="AQ22" s="32">
        <f>-Y22*tariffs[[#This Row],[Building 3 (sell)]]</f>
        <v>0</v>
      </c>
      <c r="AS22" s="29">
        <v>19</v>
      </c>
      <c r="AT22" s="24">
        <f>V51*'Conversion Technologies'!$E$2</f>
        <v>3.0800000000000001E-2</v>
      </c>
      <c r="AU22" s="24">
        <f>final_electricity__161924263031329[[#This Row],[ Building 1 (kWh)2]]*'Conversion Technologies'!$E$2</f>
        <v>40.075000000000003</v>
      </c>
      <c r="AV22" s="24">
        <f>final_electricity__161924263031329[[#This Row],[ Building 1 (kWh)3]]*'Conversion Technologies'!$E$2</f>
        <v>44.011400000000002</v>
      </c>
    </row>
    <row r="23" spans="1:48" x14ac:dyDescent="0.35">
      <c r="A23" s="29">
        <v>20</v>
      </c>
      <c r="B23" s="24">
        <f>final_electricity__161924[[#This Row],[ Building 1 (kWh)]]+final_electricity__16192425[[#This Row],[Total]]</f>
        <v>0.65300000000000002</v>
      </c>
      <c r="C23" s="24">
        <f>final_electricity__161924[[#This Row],[Building 2 (kWh)]]</f>
        <v>163.98</v>
      </c>
      <c r="D23" s="24">
        <f>final_electricity__161924[[#This Row],[Building 3 (kWh)]]</f>
        <v>178.715</v>
      </c>
      <c r="E23" s="24">
        <f>SUM(final_electricity__161924263039[[#This Row],[ Building 1 (kWh)]]:final_electricity__161924263039[[#This Row],[Building 3 (kWh)]])</f>
        <v>343.34799999999996</v>
      </c>
      <c r="G23" s="29">
        <v>20</v>
      </c>
      <c r="H23" s="24">
        <f>final_electricity__118[[#This Row],[Generation]]/1000*('Conversion Technologies'!$I$11/('Conversion Technologies'!$I$2/1000))</f>
        <v>0</v>
      </c>
      <c r="I23" s="24">
        <f>('Conversion Technologies'!$I$12/'Conversion Technologies'!$I$11)*H23</f>
        <v>0</v>
      </c>
      <c r="J23" s="24">
        <f>('Conversion Technologies'!$I$13/'Conversion Technologies'!$I$11)*H23</f>
        <v>0</v>
      </c>
      <c r="K23" s="24">
        <f>SUM(final_electricity__16192426303140[[#This Row],[ Building 1 (kWh)]]:final_electricity__16192426303140[[#This Row],[Building 3 (kWh)]])</f>
        <v>0</v>
      </c>
      <c r="M23" s="29">
        <v>20</v>
      </c>
      <c r="N23" s="32">
        <f t="shared" si="0"/>
        <v>0</v>
      </c>
      <c r="O23" s="36">
        <f>SUM($N$3:N23)/$I$36</f>
        <v>0.12997500000000003</v>
      </c>
      <c r="Q23" s="29">
        <v>20</v>
      </c>
      <c r="R23" s="24">
        <f t="shared" si="1"/>
        <v>0.65300000000000002</v>
      </c>
      <c r="S23" s="24">
        <f t="shared" si="2"/>
        <v>163.98</v>
      </c>
      <c r="T23" s="24">
        <f t="shared" si="3"/>
        <v>178.715</v>
      </c>
      <c r="V23" s="29">
        <v>20</v>
      </c>
      <c r="W23" s="24">
        <f t="shared" si="4"/>
        <v>0</v>
      </c>
      <c r="X23" s="24">
        <f t="shared" si="5"/>
        <v>0</v>
      </c>
      <c r="Y23" s="24">
        <f t="shared" si="6"/>
        <v>0</v>
      </c>
      <c r="AA23" s="29">
        <v>20</v>
      </c>
      <c r="AB23" s="24">
        <f>V52*tariffs[[#This Row],[Building 1 (buy)]]</f>
        <v>0.1277268</v>
      </c>
      <c r="AC23" s="24">
        <f>W52*tariffs[[#This Row],[Building 2 (buy)]]</f>
        <v>28.794888</v>
      </c>
      <c r="AD23" s="24">
        <f>X52*tariffs[[#This Row],[Building 3 (buy)]]</f>
        <v>31.364482499999998</v>
      </c>
      <c r="AF23" s="29">
        <v>20</v>
      </c>
      <c r="AG23" s="24">
        <f>H23*'Conversion Technologies'!$I$8</f>
        <v>0</v>
      </c>
      <c r="AH23" s="24">
        <f>I23*'Conversion Technologies'!$I$8</f>
        <v>0</v>
      </c>
      <c r="AI23" s="24">
        <f>J23*'Conversion Technologies'!$I$8</f>
        <v>0</v>
      </c>
      <c r="AJ23" s="24"/>
      <c r="AK23" s="29">
        <v>20</v>
      </c>
      <c r="AL23" s="24">
        <f>(Q53+R53)*'Conversion Technologies'!$I$21</f>
        <v>0</v>
      </c>
      <c r="AN23" s="29">
        <v>20</v>
      </c>
      <c r="AO23" s="32">
        <f>-W23*tariffs[[#This Row],[Building 1 (sell)]]</f>
        <v>0</v>
      </c>
      <c r="AP23" s="32">
        <f>-X23*tariffs[[#This Row],[Building 2 (sell)]]</f>
        <v>0</v>
      </c>
      <c r="AQ23" s="32">
        <f>-Y23*tariffs[[#This Row],[Building 3 (sell)]]</f>
        <v>0</v>
      </c>
      <c r="AS23" s="29">
        <v>20</v>
      </c>
      <c r="AT23" s="24">
        <f>V52*'Conversion Technologies'!$E$2</f>
        <v>0.13060000000000002</v>
      </c>
      <c r="AU23" s="24">
        <f>final_electricity__161924263031329[[#This Row],[ Building 1 (kWh)2]]*'Conversion Technologies'!$E$2</f>
        <v>32.795999999999999</v>
      </c>
      <c r="AV23" s="24">
        <f>final_electricity__161924263031329[[#This Row],[ Building 1 (kWh)3]]*'Conversion Technologies'!$E$2</f>
        <v>35.743000000000002</v>
      </c>
    </row>
    <row r="24" spans="1:48" x14ac:dyDescent="0.35">
      <c r="A24" s="29">
        <v>21</v>
      </c>
      <c r="B24" s="24">
        <f>final_electricity__161924[[#This Row],[ Building 1 (kWh)]]+final_electricity__16192425[[#This Row],[Total]]</f>
        <v>1.663</v>
      </c>
      <c r="C24" s="24">
        <f>final_electricity__161924[[#This Row],[Building 2 (kWh)]]</f>
        <v>148.77500000000001</v>
      </c>
      <c r="D24" s="24">
        <f>final_electricity__161924[[#This Row],[Building 3 (kWh)]]</f>
        <v>153.333</v>
      </c>
      <c r="E24" s="24">
        <f>SUM(final_electricity__161924263039[[#This Row],[ Building 1 (kWh)]]:final_electricity__161924263039[[#This Row],[Building 3 (kWh)]])</f>
        <v>303.77100000000002</v>
      </c>
      <c r="G24" s="29">
        <v>21</v>
      </c>
      <c r="H24" s="24">
        <f>final_electricity__118[[#This Row],[Generation]]/1000*('Conversion Technologies'!$I$11/('Conversion Technologies'!$I$2/1000))</f>
        <v>0</v>
      </c>
      <c r="I24" s="24">
        <f>('Conversion Technologies'!$I$12/'Conversion Technologies'!$I$11)*H24</f>
        <v>0</v>
      </c>
      <c r="J24" s="24">
        <f>('Conversion Technologies'!$I$13/'Conversion Technologies'!$I$11)*H24</f>
        <v>0</v>
      </c>
      <c r="K24" s="24">
        <f>SUM(final_electricity__16192426303140[[#This Row],[ Building 1 (kWh)]]:final_electricity__16192426303140[[#This Row],[Building 3 (kWh)]])</f>
        <v>0</v>
      </c>
      <c r="M24" s="29">
        <v>21</v>
      </c>
      <c r="N24" s="32">
        <f t="shared" si="0"/>
        <v>0</v>
      </c>
      <c r="O24" s="36">
        <f>SUM($N$3:N24)/$I$36</f>
        <v>0.12997500000000003</v>
      </c>
      <c r="Q24" s="29">
        <v>21</v>
      </c>
      <c r="R24" s="24">
        <f t="shared" si="1"/>
        <v>1.663</v>
      </c>
      <c r="S24" s="24">
        <f t="shared" si="2"/>
        <v>148.77500000000001</v>
      </c>
      <c r="T24" s="24">
        <f t="shared" si="3"/>
        <v>153.333</v>
      </c>
      <c r="V24" s="29">
        <v>21</v>
      </c>
      <c r="W24" s="24">
        <f t="shared" si="4"/>
        <v>0</v>
      </c>
      <c r="X24" s="24">
        <f t="shared" si="5"/>
        <v>0</v>
      </c>
      <c r="Y24" s="24">
        <f t="shared" si="6"/>
        <v>0</v>
      </c>
      <c r="AA24" s="29">
        <v>21</v>
      </c>
      <c r="AB24" s="24">
        <f>V53*tariffs[[#This Row],[Building 1 (buy)]]</f>
        <v>0.32528279999999998</v>
      </c>
      <c r="AC24" s="24">
        <f>W53*tariffs[[#This Row],[Building 2 (buy)]]</f>
        <v>23.342797500000003</v>
      </c>
      <c r="AD24" s="24">
        <f>X53*tariffs[[#This Row],[Building 3 (buy)]]</f>
        <v>25.667944199999997</v>
      </c>
      <c r="AF24" s="29">
        <v>21</v>
      </c>
      <c r="AG24" s="24">
        <f>H24*'Conversion Technologies'!$I$8</f>
        <v>0</v>
      </c>
      <c r="AH24" s="24">
        <f>I24*'Conversion Technologies'!$I$8</f>
        <v>0</v>
      </c>
      <c r="AI24" s="24">
        <f>J24*'Conversion Technologies'!$I$8</f>
        <v>0</v>
      </c>
      <c r="AJ24" s="24"/>
      <c r="AK24" s="29">
        <v>21</v>
      </c>
      <c r="AL24" s="24">
        <f>(Q54+R54)*'Conversion Technologies'!$I$21</f>
        <v>0</v>
      </c>
      <c r="AN24" s="29">
        <v>21</v>
      </c>
      <c r="AO24" s="32">
        <f>-W24*tariffs[[#This Row],[Building 1 (sell)]]</f>
        <v>0</v>
      </c>
      <c r="AP24" s="32">
        <f>-X24*tariffs[[#This Row],[Building 2 (sell)]]</f>
        <v>0</v>
      </c>
      <c r="AQ24" s="32">
        <f>-Y24*tariffs[[#This Row],[Building 3 (sell)]]</f>
        <v>0</v>
      </c>
      <c r="AS24" s="29">
        <v>21</v>
      </c>
      <c r="AT24" s="24">
        <f>V53*'Conversion Technologies'!$E$2</f>
        <v>0.33260000000000001</v>
      </c>
      <c r="AU24" s="24">
        <f>final_electricity__161924263031329[[#This Row],[ Building 1 (kWh)2]]*'Conversion Technologies'!$E$2</f>
        <v>29.755000000000003</v>
      </c>
      <c r="AV24" s="24">
        <f>final_electricity__161924263031329[[#This Row],[ Building 1 (kWh)3]]*'Conversion Technologies'!$E$2</f>
        <v>30.666600000000003</v>
      </c>
    </row>
    <row r="25" spans="1:48" x14ac:dyDescent="0.35">
      <c r="A25" s="29">
        <v>22</v>
      </c>
      <c r="B25" s="24">
        <f>final_electricity__161924[[#This Row],[ Building 1 (kWh)]]+final_electricity__16192425[[#This Row],[Total]]</f>
        <v>0.755</v>
      </c>
      <c r="C25" s="24">
        <f>final_electricity__161924[[#This Row],[Building 2 (kWh)]]</f>
        <v>128.393</v>
      </c>
      <c r="D25" s="24">
        <f>final_electricity__161924[[#This Row],[Building 3 (kWh)]]</f>
        <v>138.67599999999999</v>
      </c>
      <c r="E25" s="24">
        <f>SUM(final_electricity__161924263039[[#This Row],[ Building 1 (kWh)]]:final_electricity__161924263039[[#This Row],[Building 3 (kWh)]])</f>
        <v>267.82399999999996</v>
      </c>
      <c r="G25" s="29">
        <v>22</v>
      </c>
      <c r="H25" s="24">
        <f>final_electricity__118[[#This Row],[Generation]]/1000*('Conversion Technologies'!$I$11/('Conversion Technologies'!$I$2/1000))</f>
        <v>0</v>
      </c>
      <c r="I25" s="24">
        <f>('Conversion Technologies'!$I$12/'Conversion Technologies'!$I$11)*H25</f>
        <v>0</v>
      </c>
      <c r="J25" s="24">
        <f>('Conversion Technologies'!$I$13/'Conversion Technologies'!$I$11)*H25</f>
        <v>0</v>
      </c>
      <c r="K25" s="24">
        <f>SUM(final_electricity__16192426303140[[#This Row],[ Building 1 (kWh)]]:final_electricity__16192426303140[[#This Row],[Building 3 (kWh)]])</f>
        <v>0</v>
      </c>
      <c r="M25" s="29">
        <v>22</v>
      </c>
      <c r="N25" s="32">
        <f t="shared" si="0"/>
        <v>0</v>
      </c>
      <c r="O25" s="36">
        <f>SUM($N$3:N25)/$I$36</f>
        <v>0.12997500000000003</v>
      </c>
      <c r="Q25" s="29">
        <v>22</v>
      </c>
      <c r="R25" s="24">
        <f t="shared" si="1"/>
        <v>0.755</v>
      </c>
      <c r="S25" s="24">
        <f t="shared" si="2"/>
        <v>128.393</v>
      </c>
      <c r="T25" s="24">
        <f t="shared" si="3"/>
        <v>138.67599999999999</v>
      </c>
      <c r="V25" s="29">
        <v>22</v>
      </c>
      <c r="W25" s="24">
        <f t="shared" si="4"/>
        <v>0</v>
      </c>
      <c r="X25" s="24">
        <f t="shared" si="5"/>
        <v>0</v>
      </c>
      <c r="Y25" s="24">
        <f t="shared" si="6"/>
        <v>0</v>
      </c>
      <c r="AA25" s="29">
        <v>22</v>
      </c>
      <c r="AB25" s="24">
        <f>V54*tariffs[[#This Row],[Building 1 (buy)]]</f>
        <v>0.147678</v>
      </c>
      <c r="AC25" s="24">
        <f>W54*tariffs[[#This Row],[Building 2 (buy)]]</f>
        <v>20.1448617</v>
      </c>
      <c r="AD25" s="24">
        <f>X54*tariffs[[#This Row],[Building 3 (buy)]]</f>
        <v>23.214362399999995</v>
      </c>
      <c r="AF25" s="29">
        <v>22</v>
      </c>
      <c r="AG25" s="24">
        <f>H25*'Conversion Technologies'!$I$8</f>
        <v>0</v>
      </c>
      <c r="AH25" s="24">
        <f>I25*'Conversion Technologies'!$I$8</f>
        <v>0</v>
      </c>
      <c r="AI25" s="24">
        <f>J25*'Conversion Technologies'!$I$8</f>
        <v>0</v>
      </c>
      <c r="AJ25" s="24"/>
      <c r="AK25" s="29">
        <v>22</v>
      </c>
      <c r="AL25" s="24">
        <f>(Q55+R55)*'Conversion Technologies'!$I$21</f>
        <v>0</v>
      </c>
      <c r="AN25" s="29">
        <v>22</v>
      </c>
      <c r="AO25" s="32">
        <f>-W25*tariffs[[#This Row],[Building 1 (sell)]]</f>
        <v>0</v>
      </c>
      <c r="AP25" s="32">
        <f>-X25*tariffs[[#This Row],[Building 2 (sell)]]</f>
        <v>0</v>
      </c>
      <c r="AQ25" s="32">
        <f>-Y25*tariffs[[#This Row],[Building 3 (sell)]]</f>
        <v>0</v>
      </c>
      <c r="AS25" s="29">
        <v>22</v>
      </c>
      <c r="AT25" s="24">
        <f>V54*'Conversion Technologies'!$E$2</f>
        <v>0.15100000000000002</v>
      </c>
      <c r="AU25" s="24">
        <f>final_electricity__161924263031329[[#This Row],[ Building 1 (kWh)2]]*'Conversion Technologies'!$E$2</f>
        <v>25.678600000000003</v>
      </c>
      <c r="AV25" s="24">
        <f>final_electricity__161924263031329[[#This Row],[ Building 1 (kWh)3]]*'Conversion Technologies'!$E$2</f>
        <v>27.735199999999999</v>
      </c>
    </row>
    <row r="26" spans="1:48" x14ac:dyDescent="0.35">
      <c r="A26" s="29">
        <v>23</v>
      </c>
      <c r="B26" s="24">
        <f>final_electricity__161924[[#This Row],[ Building 1 (kWh)]]+final_electricity__16192425[[#This Row],[Total]]</f>
        <v>0.44400000000000001</v>
      </c>
      <c r="C26" s="24">
        <f>final_electricity__161924[[#This Row],[Building 2 (kWh)]]</f>
        <v>121.883</v>
      </c>
      <c r="D26" s="24">
        <f>final_electricity__161924[[#This Row],[Building 3 (kWh)]]</f>
        <v>135.27199999999999</v>
      </c>
      <c r="E26" s="24">
        <f>SUM(final_electricity__161924263039[[#This Row],[ Building 1 (kWh)]]:final_electricity__161924263039[[#This Row],[Building 3 (kWh)]])</f>
        <v>257.59899999999999</v>
      </c>
      <c r="G26" s="29">
        <v>23</v>
      </c>
      <c r="H26" s="24">
        <f>final_electricity__118[[#This Row],[Generation]]/1000*('Conversion Technologies'!$I$11/('Conversion Technologies'!$I$2/1000))</f>
        <v>0</v>
      </c>
      <c r="I26" s="24">
        <f>('Conversion Technologies'!$I$12/'Conversion Technologies'!$I$11)*H26</f>
        <v>0</v>
      </c>
      <c r="J26" s="24">
        <f>('Conversion Technologies'!$I$13/'Conversion Technologies'!$I$11)*H26</f>
        <v>0</v>
      </c>
      <c r="K26" s="24">
        <f>SUM(final_electricity__16192426303140[[#This Row],[ Building 1 (kWh)]]:final_electricity__16192426303140[[#This Row],[Building 3 (kWh)]])</f>
        <v>0</v>
      </c>
      <c r="M26" s="29">
        <v>23</v>
      </c>
      <c r="N26" s="32">
        <f t="shared" si="0"/>
        <v>0</v>
      </c>
      <c r="O26" s="36">
        <f>SUM($N$3:N27)/$I$36</f>
        <v>0.25995000000000007</v>
      </c>
      <c r="Q26" s="29">
        <v>23</v>
      </c>
      <c r="R26" s="24">
        <f t="shared" si="1"/>
        <v>0.44400000000000001</v>
      </c>
      <c r="S26" s="24">
        <f t="shared" si="2"/>
        <v>121.883</v>
      </c>
      <c r="T26" s="24">
        <f t="shared" si="3"/>
        <v>135.27199999999999</v>
      </c>
      <c r="V26" s="29">
        <v>23</v>
      </c>
      <c r="W26" s="24">
        <f t="shared" si="4"/>
        <v>0</v>
      </c>
      <c r="X26" s="24">
        <f t="shared" si="5"/>
        <v>0</v>
      </c>
      <c r="Y26" s="24">
        <f t="shared" si="6"/>
        <v>0</v>
      </c>
      <c r="AA26" s="29">
        <v>23</v>
      </c>
      <c r="AB26" s="24">
        <f>V55*tariffs[[#This Row],[Building 1 (buy)]]</f>
        <v>8.6846400000000004E-2</v>
      </c>
      <c r="AC26" s="24">
        <f>W55*tariffs[[#This Row],[Building 2 (buy)]]</f>
        <v>19.123442700000002</v>
      </c>
      <c r="AD26" s="24">
        <f>X55*tariffs[[#This Row],[Building 3 (buy)]]</f>
        <v>22.644532799999997</v>
      </c>
      <c r="AF26" s="29">
        <v>23</v>
      </c>
      <c r="AG26" s="24">
        <f>H26*'Conversion Technologies'!$I$8</f>
        <v>0</v>
      </c>
      <c r="AH26" s="24">
        <f>I26*'Conversion Technologies'!$I$8</f>
        <v>0</v>
      </c>
      <c r="AI26" s="24">
        <f>J26*'Conversion Technologies'!$I$8</f>
        <v>0</v>
      </c>
      <c r="AJ26" s="24"/>
      <c r="AK26" s="29">
        <v>23</v>
      </c>
      <c r="AL26" s="24">
        <f>(Q56+R56)*'Conversion Technologies'!$I$21</f>
        <v>0</v>
      </c>
      <c r="AN26" s="29">
        <v>23</v>
      </c>
      <c r="AO26" s="32">
        <f>-W26*tariffs[[#This Row],[Building 1 (sell)]]</f>
        <v>0</v>
      </c>
      <c r="AP26" s="32">
        <f>-X26*tariffs[[#This Row],[Building 2 (sell)]]</f>
        <v>0</v>
      </c>
      <c r="AQ26" s="32">
        <f>-Y26*tariffs[[#This Row],[Building 3 (sell)]]</f>
        <v>0</v>
      </c>
      <c r="AS26" s="29">
        <v>23</v>
      </c>
      <c r="AT26" s="24">
        <f>V55*'Conversion Technologies'!$E$2</f>
        <v>8.8800000000000004E-2</v>
      </c>
      <c r="AU26" s="24">
        <f>final_electricity__161924263031329[[#This Row],[ Building 1 (kWh)2]]*'Conversion Technologies'!$E$2</f>
        <v>24.3766</v>
      </c>
      <c r="AV26" s="24">
        <f>final_electricity__161924263031329[[#This Row],[ Building 1 (kWh)3]]*'Conversion Technologies'!$E$2</f>
        <v>27.054400000000001</v>
      </c>
    </row>
    <row r="27" spans="1:48" x14ac:dyDescent="0.35">
      <c r="A27" s="30" t="s">
        <v>165</v>
      </c>
      <c r="B27" s="24">
        <f>SUM(B3:B26)</f>
        <v>25.747321621047867</v>
      </c>
      <c r="C27" s="24">
        <f t="shared" ref="C27:E27" si="7">SUM(C3:C26)</f>
        <v>4859.128999999999</v>
      </c>
      <c r="D27" s="24">
        <f t="shared" si="7"/>
        <v>5688.4694</v>
      </c>
      <c r="E27" s="24">
        <f t="shared" si="7"/>
        <v>10573.345721621046</v>
      </c>
      <c r="G27" s="30" t="s">
        <v>165</v>
      </c>
      <c r="H27" s="24">
        <f>SUM(H3:H26)</f>
        <v>1.6190099999999998</v>
      </c>
      <c r="I27" s="24">
        <f t="shared" ref="I27:K27" si="8">SUM(I3:I26)</f>
        <v>16.190100000000001</v>
      </c>
      <c r="J27" s="24">
        <f t="shared" si="8"/>
        <v>32.380200000000002</v>
      </c>
      <c r="K27" s="24">
        <f t="shared" si="8"/>
        <v>50.189309999999999</v>
      </c>
      <c r="M27" s="29" t="s">
        <v>165</v>
      </c>
      <c r="N27" s="37">
        <f>SUM(N3:N26)</f>
        <v>0.25995000000000007</v>
      </c>
      <c r="O27" s="38">
        <f>final_electricity__16192426303941[[#This Row],[Energy received (kWh)]]/'Conversion Technologies'!I24</f>
        <v>0.12997500000000003</v>
      </c>
      <c r="Q27" s="30" t="s">
        <v>165</v>
      </c>
      <c r="R27" s="24">
        <f>SUM(R3:R26)</f>
        <v>24.388261621047871</v>
      </c>
      <c r="S27" s="24">
        <f t="shared" ref="S27:T27" si="9">SUM(S3:S26)</f>
        <v>4842.9388999999992</v>
      </c>
      <c r="T27" s="24">
        <f t="shared" si="9"/>
        <v>5656.0891999999994</v>
      </c>
      <c r="V27" s="30" t="s">
        <v>165</v>
      </c>
      <c r="W27" s="24">
        <f>SUM(W3:W26)</f>
        <v>0</v>
      </c>
      <c r="X27" s="24">
        <f t="shared" ref="X27:Y27" si="10">SUM(X3:X26)</f>
        <v>0</v>
      </c>
      <c r="Y27" s="24">
        <f t="shared" si="10"/>
        <v>0</v>
      </c>
      <c r="AA27" s="30" t="s">
        <v>165</v>
      </c>
      <c r="AB27" s="24">
        <f>SUM(AB3:AB26)</f>
        <v>3.0234273051107579</v>
      </c>
      <c r="AC27" s="24">
        <f t="shared" ref="AC27:AD27" si="11">SUM(AC3:AC26)</f>
        <v>733.86298333000013</v>
      </c>
      <c r="AD27" s="24">
        <f t="shared" si="11"/>
        <v>914.97956843999998</v>
      </c>
      <c r="AF27" s="30" t="s">
        <v>165</v>
      </c>
      <c r="AG27" s="24">
        <f>SUM(AG3:AG26)</f>
        <v>5.3570183823529412E-2</v>
      </c>
      <c r="AH27" s="24">
        <f t="shared" ref="AH27:AI27" si="12">SUM(AH3:AH26)</f>
        <v>0.53570183823529427</v>
      </c>
      <c r="AI27" s="24">
        <f t="shared" si="12"/>
        <v>1.0714036764705885</v>
      </c>
      <c r="AJ27" s="24"/>
      <c r="AK27" s="30" t="s">
        <v>165</v>
      </c>
      <c r="AL27" s="24">
        <f>SUM(AL3:AL26)</f>
        <v>0.186738125</v>
      </c>
      <c r="AN27" s="30" t="s">
        <v>165</v>
      </c>
      <c r="AO27" s="32">
        <f>SUM(AO3:AO26)</f>
        <v>0</v>
      </c>
      <c r="AP27" s="32">
        <f t="shared" ref="AP27:AQ27" si="13">SUM(AP3:AP26)</f>
        <v>0</v>
      </c>
      <c r="AQ27" s="32">
        <f t="shared" si="13"/>
        <v>0</v>
      </c>
      <c r="AS27" s="30" t="s">
        <v>165</v>
      </c>
      <c r="AT27" s="24">
        <f>SUM(AT3:AT26)</f>
        <v>4.640731349209573</v>
      </c>
      <c r="AU27" s="24">
        <f t="shared" ref="AU27:AV27" si="14">SUM(AU3:AU26)</f>
        <v>968.58778000000007</v>
      </c>
      <c r="AV27" s="24">
        <f t="shared" si="14"/>
        <v>1131.2178400000003</v>
      </c>
    </row>
    <row r="28" spans="1:48" x14ac:dyDescent="0.35">
      <c r="N28" s="33"/>
    </row>
    <row r="30" spans="1:48" ht="18.5" x14ac:dyDescent="0.45">
      <c r="O30" s="106" t="s">
        <v>215</v>
      </c>
      <c r="P30" s="106"/>
      <c r="Q30" s="106"/>
      <c r="R30" s="106"/>
      <c r="S30" s="106"/>
      <c r="T30" s="31"/>
      <c r="U30" s="106" t="s">
        <v>216</v>
      </c>
      <c r="V30" s="106"/>
      <c r="W30" s="106"/>
      <c r="X30" s="106"/>
      <c r="Y30" s="31"/>
      <c r="Z30" s="31"/>
      <c r="AA30" s="106" t="s">
        <v>206</v>
      </c>
      <c r="AB30" s="106"/>
      <c r="AC30" s="106"/>
      <c r="AD30" s="106"/>
      <c r="AE30" s="106"/>
      <c r="AF30" s="133" t="s">
        <v>210</v>
      </c>
      <c r="AG30" s="133"/>
      <c r="AH30" s="133"/>
      <c r="AI30" s="133"/>
      <c r="AJ30" s="133"/>
    </row>
    <row r="31" spans="1:48" x14ac:dyDescent="0.35">
      <c r="O31" s="24" t="s">
        <v>3</v>
      </c>
      <c r="P31" s="24" t="s">
        <v>212</v>
      </c>
      <c r="Q31" s="24" t="s">
        <v>213</v>
      </c>
      <c r="R31" s="24" t="s">
        <v>214</v>
      </c>
      <c r="S31" s="24" t="s">
        <v>9</v>
      </c>
      <c r="U31" s="24" t="s">
        <v>3</v>
      </c>
      <c r="V31" s="24" t="s">
        <v>79</v>
      </c>
      <c r="W31" s="24" t="s">
        <v>80</v>
      </c>
      <c r="X31" s="24" t="s">
        <v>0</v>
      </c>
      <c r="Z31" s="24" t="s">
        <v>3</v>
      </c>
      <c r="AA31" s="24" t="s">
        <v>79</v>
      </c>
      <c r="AB31" s="24" t="s">
        <v>80</v>
      </c>
      <c r="AC31" s="24" t="s">
        <v>0</v>
      </c>
      <c r="AD31" s="24" t="s">
        <v>8</v>
      </c>
      <c r="AE31" s="24" t="s">
        <v>208</v>
      </c>
      <c r="AF31" s="24" t="s">
        <v>207</v>
      </c>
      <c r="AG31" s="24" t="s">
        <v>209</v>
      </c>
      <c r="AH31" s="24" t="s">
        <v>152</v>
      </c>
    </row>
    <row r="32" spans="1:48" x14ac:dyDescent="0.35">
      <c r="O32" s="29"/>
      <c r="P32" s="24">
        <f>I36*0.5</f>
        <v>1</v>
      </c>
      <c r="Q32" s="24"/>
      <c r="R32" s="24"/>
      <c r="S32" s="24"/>
      <c r="U32" s="29">
        <v>0</v>
      </c>
      <c r="V32" s="24">
        <f t="shared" ref="V32:V56" si="15">S33</f>
        <v>1.345085197452381</v>
      </c>
      <c r="W32" s="24">
        <f t="shared" ref="W32:W56" si="16">S3</f>
        <v>126.105</v>
      </c>
      <c r="X32" s="24">
        <f t="shared" ref="X32:X56" si="17">T3</f>
        <v>122.83199999999999</v>
      </c>
      <c r="Z32" s="29">
        <v>0</v>
      </c>
      <c r="AA32" s="24">
        <f>B3-H3</f>
        <v>2.2950851974523809</v>
      </c>
      <c r="AB32" s="24">
        <f>C3-I3</f>
        <v>126.105</v>
      </c>
      <c r="AC32" s="24">
        <f>D3-J3</f>
        <v>122.83199999999999</v>
      </c>
      <c r="AD32" s="24">
        <f>SUM(final_electricity__161924263031324547[[#This Row],[ Building 1 (kWh)]]:final_electricity__161924263031324547[[#This Row],[Building 3 (kWh)]])</f>
        <v>251.23208519745239</v>
      </c>
      <c r="AE32" s="24">
        <f t="shared" ref="AE32:AE56" si="18">IF(SUM(AA32:AC32)-N3 &lt;-2, 2-(SUM(AA32:AC32)-N3), 0)</f>
        <v>0</v>
      </c>
      <c r="AF32" s="24">
        <f>IF(SUM(AA32:AC32) &gt; 0, SUM(AA32:AC32), 0)</f>
        <v>251.23208519745239</v>
      </c>
      <c r="AG32" s="24">
        <f>final_electricity__161924263031324547[[#This Row],[Community]]*'Conversion Technologies'!$E$2</f>
        <v>50.246417039490481</v>
      </c>
      <c r="AH32" s="24">
        <f>final_electricity__161924263031324547[[#This Row],[Energy Sold]]*Tariffs!$E$3</f>
        <v>0</v>
      </c>
    </row>
    <row r="33" spans="8:34" x14ac:dyDescent="0.35">
      <c r="O33" s="29">
        <v>0</v>
      </c>
      <c r="P33" s="24">
        <f>P32+Q33-R33</f>
        <v>0</v>
      </c>
      <c r="Q33" s="24">
        <f>MIN(N3*'Conversion Technologies'!$I$26, (1-P32)*'Conversion Technologies'!$I$24)</f>
        <v>0</v>
      </c>
      <c r="R33" s="24">
        <f>MIN(R3/'Conversion Technologies'!$I$26,P32)</f>
        <v>1</v>
      </c>
      <c r="S33" s="24">
        <f>B3-H3+(Q33/'Conversion Technologies'!$I$26)-(R33*'Conversion Technologies'!$I$26)</f>
        <v>1.345085197452381</v>
      </c>
      <c r="U33" s="29">
        <v>1</v>
      </c>
      <c r="V33" s="24">
        <f t="shared" si="15"/>
        <v>0.22495814460000002</v>
      </c>
      <c r="W33" s="24">
        <f t="shared" si="16"/>
        <v>124.566</v>
      </c>
      <c r="X33" s="24">
        <f t="shared" si="17"/>
        <v>121.10599999999999</v>
      </c>
      <c r="Z33" s="29">
        <v>1</v>
      </c>
      <c r="AA33" s="24">
        <f t="shared" ref="AA33:AA55" si="19">B4-H4</f>
        <v>0.22495814460000002</v>
      </c>
      <c r="AB33" s="24">
        <f t="shared" ref="AB33:AB55" si="20">C4-I4</f>
        <v>124.566</v>
      </c>
      <c r="AC33" s="24">
        <f t="shared" ref="AC33:AC55" si="21">D4-J4</f>
        <v>121.10599999999999</v>
      </c>
      <c r="AD33" s="24">
        <f>SUM(final_electricity__161924263031324547[[#This Row],[ Building 1 (kWh)]]:final_electricity__161924263031324547[[#This Row],[Building 3 (kWh)]])</f>
        <v>245.89695814459998</v>
      </c>
      <c r="AE33" s="24">
        <f t="shared" si="18"/>
        <v>0</v>
      </c>
      <c r="AF33" s="24">
        <f t="shared" ref="AF33:AF55" si="22">IF(SUM(AA33:AC33) &gt; 0, SUM(AA33:AC33), 0)</f>
        <v>245.89695814459998</v>
      </c>
      <c r="AG33" s="24">
        <f>final_electricity__161924263031324547[[#This Row],[Community]]*'Conversion Technologies'!$E$2</f>
        <v>49.179391628920001</v>
      </c>
      <c r="AH33" s="24">
        <f>final_electricity__161924263031324547[[#This Row],[Energy Sold]]*Tariffs!$E$3</f>
        <v>0</v>
      </c>
    </row>
    <row r="34" spans="8:34" x14ac:dyDescent="0.35">
      <c r="O34" s="29">
        <v>1</v>
      </c>
      <c r="P34" s="24">
        <f t="shared" ref="P34:P56" si="23">P33+Q34-R34</f>
        <v>0</v>
      </c>
      <c r="Q34" s="24">
        <f>MIN(N4*'Conversion Technologies'!$I$26, (1-P33)*'Conversion Technologies'!$I$24)</f>
        <v>0</v>
      </c>
      <c r="R34" s="24">
        <f>MIN(R4/'Conversion Technologies'!$I$26,P33)</f>
        <v>0</v>
      </c>
      <c r="S34" s="24">
        <f>B4-H4+(Q34/'Conversion Technologies'!$I$26)-(R34*'Conversion Technologies'!$I$26)</f>
        <v>0.22495814460000002</v>
      </c>
      <c r="U34" s="29">
        <v>2</v>
      </c>
      <c r="V34" s="24">
        <f t="shared" si="15"/>
        <v>14.936496131695485</v>
      </c>
      <c r="W34" s="24">
        <f t="shared" si="16"/>
        <v>122.24</v>
      </c>
      <c r="X34" s="24">
        <f t="shared" si="17"/>
        <v>111.349</v>
      </c>
      <c r="Z34" s="29">
        <v>2</v>
      </c>
      <c r="AA34" s="24">
        <f t="shared" si="19"/>
        <v>14.936496131695485</v>
      </c>
      <c r="AB34" s="24">
        <f t="shared" si="20"/>
        <v>122.24</v>
      </c>
      <c r="AC34" s="24">
        <f t="shared" si="21"/>
        <v>111.349</v>
      </c>
      <c r="AD34" s="24">
        <f>SUM(final_electricity__161924263031324547[[#This Row],[ Building 1 (kWh)]]:final_electricity__161924263031324547[[#This Row],[Building 3 (kWh)]])</f>
        <v>248.52549613169549</v>
      </c>
      <c r="AE34" s="24">
        <f t="shared" si="18"/>
        <v>0</v>
      </c>
      <c r="AF34" s="24">
        <f t="shared" si="22"/>
        <v>248.52549613169549</v>
      </c>
      <c r="AG34" s="24">
        <f>final_electricity__161924263031324547[[#This Row],[Community]]*'Conversion Technologies'!$E$2</f>
        <v>49.705099226339101</v>
      </c>
      <c r="AH34" s="24">
        <f>final_electricity__161924263031324547[[#This Row],[Energy Sold]]*Tariffs!$E$3</f>
        <v>0</v>
      </c>
    </row>
    <row r="35" spans="8:34" x14ac:dyDescent="0.35">
      <c r="I35" s="130" t="s">
        <v>192</v>
      </c>
      <c r="J35" s="130"/>
      <c r="O35" s="29">
        <v>2</v>
      </c>
      <c r="P35" s="24">
        <f t="shared" si="23"/>
        <v>0</v>
      </c>
      <c r="Q35" s="24">
        <f>MIN(N5*'Conversion Technologies'!$I$26, (1-P34)*'Conversion Technologies'!$I$24)</f>
        <v>0</v>
      </c>
      <c r="R35" s="24">
        <f>MIN(R5/'Conversion Technologies'!$I$26,P34)</f>
        <v>0</v>
      </c>
      <c r="S35" s="24">
        <f>B5-H5+(Q35/'Conversion Technologies'!$I$26)-(R35*'Conversion Technologies'!$I$26)</f>
        <v>14.936496131695485</v>
      </c>
      <c r="U35" s="29">
        <v>3</v>
      </c>
      <c r="V35" s="24">
        <f t="shared" si="15"/>
        <v>0.21985899380000001</v>
      </c>
      <c r="W35" s="24">
        <f t="shared" si="16"/>
        <v>119.33199999999999</v>
      </c>
      <c r="X35" s="24">
        <f t="shared" si="17"/>
        <v>108.373</v>
      </c>
      <c r="Z35" s="29">
        <v>3</v>
      </c>
      <c r="AA35" s="24">
        <f t="shared" si="19"/>
        <v>0.21985899380000001</v>
      </c>
      <c r="AB35" s="24">
        <f t="shared" si="20"/>
        <v>119.33199999999999</v>
      </c>
      <c r="AC35" s="24">
        <f t="shared" si="21"/>
        <v>108.373</v>
      </c>
      <c r="AD35" s="24">
        <f>SUM(final_electricity__161924263031324547[[#This Row],[ Building 1 (kWh)]]:final_electricity__161924263031324547[[#This Row],[Building 3 (kWh)]])</f>
        <v>227.9248589938</v>
      </c>
      <c r="AE35" s="24">
        <f t="shared" si="18"/>
        <v>0</v>
      </c>
      <c r="AF35" s="24">
        <f t="shared" si="22"/>
        <v>227.9248589938</v>
      </c>
      <c r="AG35" s="24">
        <f>final_electricity__161924263031324547[[#This Row],[Community]]*'Conversion Technologies'!$E$2</f>
        <v>45.584971798760002</v>
      </c>
      <c r="AH35" s="24">
        <f>final_electricity__161924263031324547[[#This Row],[Energy Sold]]*Tariffs!$E$3</f>
        <v>0</v>
      </c>
    </row>
    <row r="36" spans="8:34" x14ac:dyDescent="0.35">
      <c r="H36" s="105" t="s">
        <v>191</v>
      </c>
      <c r="I36" s="131">
        <f>'Conversion Technologies'!I24</f>
        <v>2</v>
      </c>
      <c r="J36" s="131"/>
      <c r="O36" s="29">
        <v>3</v>
      </c>
      <c r="P36" s="24">
        <f t="shared" si="23"/>
        <v>0</v>
      </c>
      <c r="Q36" s="24">
        <f>MIN(N6*'Conversion Technologies'!$I$26, (1-P35)*'Conversion Technologies'!$I$24)</f>
        <v>0</v>
      </c>
      <c r="R36" s="24">
        <f>MIN(R6/'Conversion Technologies'!$I$26,P35)</f>
        <v>0</v>
      </c>
      <c r="S36" s="24">
        <f>B6-H6+(Q36/'Conversion Technologies'!$I$26)-(R36*'Conversion Technologies'!$I$26)</f>
        <v>0.21985899380000001</v>
      </c>
      <c r="U36" s="29">
        <v>4</v>
      </c>
      <c r="V36" s="24">
        <f t="shared" si="15"/>
        <v>0.24080941840000006</v>
      </c>
      <c r="W36" s="24">
        <f t="shared" si="16"/>
        <v>118.456</v>
      </c>
      <c r="X36" s="24">
        <f t="shared" si="17"/>
        <v>111.221</v>
      </c>
      <c r="Z36" s="29">
        <v>4</v>
      </c>
      <c r="AA36" s="24">
        <f t="shared" si="19"/>
        <v>0.24080941840000006</v>
      </c>
      <c r="AB36" s="24">
        <f t="shared" si="20"/>
        <v>118.456</v>
      </c>
      <c r="AC36" s="24">
        <f t="shared" si="21"/>
        <v>111.221</v>
      </c>
      <c r="AD36" s="24">
        <f>SUM(final_electricity__161924263031324547[[#This Row],[ Building 1 (kWh)]]:final_electricity__161924263031324547[[#This Row],[Building 3 (kWh)]])</f>
        <v>229.9178094184</v>
      </c>
      <c r="AE36" s="24">
        <f t="shared" si="18"/>
        <v>0</v>
      </c>
      <c r="AF36" s="24">
        <f t="shared" si="22"/>
        <v>229.9178094184</v>
      </c>
      <c r="AG36" s="24">
        <f>final_electricity__161924263031324547[[#This Row],[Community]]*'Conversion Technologies'!$E$2</f>
        <v>45.983561883680004</v>
      </c>
      <c r="AH36" s="24">
        <f>final_electricity__161924263031324547[[#This Row],[Energy Sold]]*Tariffs!$E$3</f>
        <v>0</v>
      </c>
    </row>
    <row r="37" spans="8:34" x14ac:dyDescent="0.35">
      <c r="H37" s="105" t="s">
        <v>196</v>
      </c>
      <c r="I37" s="131">
        <f>'Conversion Technologies'!I25</f>
        <v>2</v>
      </c>
      <c r="J37" s="131"/>
      <c r="O37" s="29">
        <v>4</v>
      </c>
      <c r="P37" s="24">
        <f t="shared" si="23"/>
        <v>0</v>
      </c>
      <c r="Q37" s="24">
        <f>MIN(N7*'Conversion Technologies'!$I$26, (1-P36)*'Conversion Technologies'!$I$24)</f>
        <v>0</v>
      </c>
      <c r="R37" s="24">
        <f>MIN(R7/'Conversion Technologies'!$I$26,P36)</f>
        <v>0</v>
      </c>
      <c r="S37" s="24">
        <f>B7-H7+(Q37/'Conversion Technologies'!$I$26)-(R37*'Conversion Technologies'!$I$26)</f>
        <v>0.24080941840000006</v>
      </c>
      <c r="U37" s="29">
        <v>5</v>
      </c>
      <c r="V37" s="24">
        <f t="shared" si="15"/>
        <v>0.26540972719999995</v>
      </c>
      <c r="W37" s="24">
        <f t="shared" si="16"/>
        <v>123.203</v>
      </c>
      <c r="X37" s="24">
        <f t="shared" si="17"/>
        <v>124.458</v>
      </c>
      <c r="Z37" s="29">
        <v>5</v>
      </c>
      <c r="AA37" s="24">
        <f t="shared" si="19"/>
        <v>0.26540972719999995</v>
      </c>
      <c r="AB37" s="24">
        <f t="shared" si="20"/>
        <v>123.203</v>
      </c>
      <c r="AC37" s="24">
        <f t="shared" si="21"/>
        <v>124.458</v>
      </c>
      <c r="AD37" s="24">
        <f>SUM(final_electricity__161924263031324547[[#This Row],[ Building 1 (kWh)]]:final_electricity__161924263031324547[[#This Row],[Building 3 (kWh)]])</f>
        <v>247.9264097272</v>
      </c>
      <c r="AE37" s="24">
        <f t="shared" si="18"/>
        <v>0</v>
      </c>
      <c r="AF37" s="24">
        <f t="shared" si="22"/>
        <v>247.9264097272</v>
      </c>
      <c r="AG37" s="24">
        <f>final_electricity__161924263031324547[[#This Row],[Community]]*'Conversion Technologies'!$E$2</f>
        <v>49.585281945440002</v>
      </c>
      <c r="AH37" s="24">
        <f>final_electricity__161924263031324547[[#This Row],[Energy Sold]]*Tariffs!$E$3</f>
        <v>0</v>
      </c>
    </row>
    <row r="38" spans="8:34" x14ac:dyDescent="0.35">
      <c r="H38" s="105" t="s">
        <v>193</v>
      </c>
      <c r="I38" s="132">
        <f>'Conversion Technologies'!I26</f>
        <v>0.95</v>
      </c>
      <c r="J38" s="132"/>
      <c r="O38" s="29">
        <v>5</v>
      </c>
      <c r="P38" s="24">
        <f t="shared" si="23"/>
        <v>0</v>
      </c>
      <c r="Q38" s="24">
        <f>MIN(N8*'Conversion Technologies'!$I$26, (1-P37)*'Conversion Technologies'!$I$24)</f>
        <v>0</v>
      </c>
      <c r="R38" s="24">
        <f>MIN(R8/'Conversion Technologies'!$I$26,P37)</f>
        <v>0</v>
      </c>
      <c r="S38" s="24">
        <f>B8-H8+(Q38/'Conversion Technologies'!$I$26)-(R38*'Conversion Technologies'!$I$26)</f>
        <v>0.26540972719999995</v>
      </c>
      <c r="U38" s="29">
        <v>6</v>
      </c>
      <c r="V38" s="24">
        <f t="shared" si="15"/>
        <v>0.26401003599999995</v>
      </c>
      <c r="W38" s="24">
        <f t="shared" si="16"/>
        <v>128.864</v>
      </c>
      <c r="X38" s="24">
        <f t="shared" si="17"/>
        <v>135.33600000000001</v>
      </c>
      <c r="Z38" s="29">
        <v>6</v>
      </c>
      <c r="AA38" s="24">
        <f t="shared" si="19"/>
        <v>0.26401003599999995</v>
      </c>
      <c r="AB38" s="24">
        <f t="shared" si="20"/>
        <v>128.864</v>
      </c>
      <c r="AC38" s="24">
        <f t="shared" si="21"/>
        <v>135.33600000000001</v>
      </c>
      <c r="AD38" s="24">
        <f>SUM(final_electricity__161924263031324547[[#This Row],[ Building 1 (kWh)]]:final_electricity__161924263031324547[[#This Row],[Building 3 (kWh)]])</f>
        <v>264.46401003599999</v>
      </c>
      <c r="AE38" s="24">
        <f t="shared" si="18"/>
        <v>0</v>
      </c>
      <c r="AF38" s="24">
        <f t="shared" si="22"/>
        <v>264.46401003599999</v>
      </c>
      <c r="AG38" s="24">
        <f>final_electricity__161924263031324547[[#This Row],[Community]]*'Conversion Technologies'!$E$2</f>
        <v>52.892802007200004</v>
      </c>
      <c r="AH38" s="24">
        <f>final_electricity__161924263031324547[[#This Row],[Energy Sold]]*Tariffs!$E$3</f>
        <v>0</v>
      </c>
    </row>
    <row r="39" spans="8:34" x14ac:dyDescent="0.35">
      <c r="O39" s="29">
        <v>6</v>
      </c>
      <c r="P39" s="24">
        <f t="shared" si="23"/>
        <v>0</v>
      </c>
      <c r="Q39" s="24">
        <f>MIN(N9*'Conversion Technologies'!$I$26, (1-P38)*'Conversion Technologies'!$I$24)</f>
        <v>0</v>
      </c>
      <c r="R39" s="24">
        <f>MIN(R9/'Conversion Technologies'!$I$26,P38)</f>
        <v>0</v>
      </c>
      <c r="S39" s="24">
        <f>B9-H9+(Q39/'Conversion Technologies'!$I$26)-(R39*'Conversion Technologies'!$I$26)</f>
        <v>0.26401003599999995</v>
      </c>
      <c r="U39" s="29">
        <v>7</v>
      </c>
      <c r="V39" s="24">
        <f t="shared" si="15"/>
        <v>0.53633536409999993</v>
      </c>
      <c r="W39" s="24">
        <f t="shared" si="16"/>
        <v>156.93</v>
      </c>
      <c r="X39" s="24">
        <f t="shared" si="17"/>
        <v>205.28700000000001</v>
      </c>
      <c r="Z39" s="29">
        <v>7</v>
      </c>
      <c r="AA39" s="24">
        <f t="shared" si="19"/>
        <v>0.53633536409999993</v>
      </c>
      <c r="AB39" s="24">
        <f t="shared" si="20"/>
        <v>156.93</v>
      </c>
      <c r="AC39" s="24">
        <f t="shared" si="21"/>
        <v>205.28700000000001</v>
      </c>
      <c r="AD39" s="24">
        <f>SUM(final_electricity__161924263031324547[[#This Row],[ Building 1 (kWh)]]:final_electricity__161924263031324547[[#This Row],[Building 3 (kWh)]])</f>
        <v>362.75333536410005</v>
      </c>
      <c r="AE39" s="24">
        <f t="shared" si="18"/>
        <v>0</v>
      </c>
      <c r="AF39" s="24">
        <f t="shared" si="22"/>
        <v>362.75333536410005</v>
      </c>
      <c r="AG39" s="24">
        <f>final_electricity__161924263031324547[[#This Row],[Community]]*'Conversion Technologies'!$E$2</f>
        <v>72.550667072820019</v>
      </c>
      <c r="AH39" s="24">
        <f>final_electricity__161924263031324547[[#This Row],[Energy Sold]]*Tariffs!$E$3</f>
        <v>0</v>
      </c>
    </row>
    <row r="40" spans="8:34" x14ac:dyDescent="0.35">
      <c r="O40" s="29">
        <v>7</v>
      </c>
      <c r="P40" s="24">
        <f t="shared" si="23"/>
        <v>0</v>
      </c>
      <c r="Q40" s="24">
        <f>MIN(N10*'Conversion Technologies'!$I$26, (1-P39)*'Conversion Technologies'!$I$24)</f>
        <v>0</v>
      </c>
      <c r="R40" s="24">
        <f>MIN(R10/'Conversion Technologies'!$I$26,P39)</f>
        <v>0</v>
      </c>
      <c r="S40" s="24">
        <f>B10-H10+(Q40/'Conversion Technologies'!$I$26)-(R40*'Conversion Technologies'!$I$26)</f>
        <v>0.53633536409999993</v>
      </c>
      <c r="U40" s="29">
        <v>8</v>
      </c>
      <c r="V40" s="24">
        <f t="shared" si="15"/>
        <v>1.1153586078000002</v>
      </c>
      <c r="W40" s="24">
        <f t="shared" si="16"/>
        <v>213.28899999999999</v>
      </c>
      <c r="X40" s="24">
        <f t="shared" si="17"/>
        <v>276.12</v>
      </c>
      <c r="Z40" s="29">
        <v>8</v>
      </c>
      <c r="AA40" s="24">
        <f t="shared" si="19"/>
        <v>1.1153586078000002</v>
      </c>
      <c r="AB40" s="24">
        <f t="shared" si="20"/>
        <v>213.28899999999999</v>
      </c>
      <c r="AC40" s="24">
        <f t="shared" si="21"/>
        <v>276.12</v>
      </c>
      <c r="AD40" s="24">
        <f>SUM(final_electricity__161924263031324547[[#This Row],[ Building 1 (kWh)]]:final_electricity__161924263031324547[[#This Row],[Building 3 (kWh)]])</f>
        <v>490.52435860779997</v>
      </c>
      <c r="AE40" s="24">
        <f t="shared" si="18"/>
        <v>0</v>
      </c>
      <c r="AF40" s="24">
        <f t="shared" si="22"/>
        <v>490.52435860779997</v>
      </c>
      <c r="AG40" s="24">
        <f>final_electricity__161924263031324547[[#This Row],[Community]]*'Conversion Technologies'!$E$2</f>
        <v>98.104871721560002</v>
      </c>
      <c r="AH40" s="24">
        <f>final_electricity__161924263031324547[[#This Row],[Energy Sold]]*Tariffs!$E$3</f>
        <v>0</v>
      </c>
    </row>
    <row r="41" spans="8:34" x14ac:dyDescent="0.35">
      <c r="O41" s="29">
        <v>8</v>
      </c>
      <c r="P41" s="24">
        <f t="shared" si="23"/>
        <v>0</v>
      </c>
      <c r="Q41" s="24">
        <f>MIN(N11*'Conversion Technologies'!$I$26, (1-P40)*'Conversion Technologies'!$I$24)</f>
        <v>0</v>
      </c>
      <c r="R41" s="24">
        <f>MIN(R11/'Conversion Technologies'!$I$26,P40)</f>
        <v>0</v>
      </c>
      <c r="S41" s="24">
        <f>B11-H11+(Q41/'Conversion Technologies'!$I$26)-(R41*'Conversion Technologies'!$I$26)</f>
        <v>1.1153586078000002</v>
      </c>
      <c r="U41" s="29">
        <v>9</v>
      </c>
      <c r="V41" s="24">
        <f t="shared" si="15"/>
        <v>0.12067999999999998</v>
      </c>
      <c r="W41" s="24">
        <f t="shared" si="16"/>
        <v>264.0668</v>
      </c>
      <c r="X41" s="24">
        <f t="shared" si="17"/>
        <v>325.95299999999997</v>
      </c>
      <c r="Z41" s="29">
        <v>9</v>
      </c>
      <c r="AA41" s="24">
        <f t="shared" si="19"/>
        <v>0.12067999999999998</v>
      </c>
      <c r="AB41" s="24">
        <f t="shared" si="20"/>
        <v>264.0668</v>
      </c>
      <c r="AC41" s="24">
        <f t="shared" si="21"/>
        <v>325.95299999999997</v>
      </c>
      <c r="AD41" s="24">
        <f>SUM(final_electricity__161924263031324547[[#This Row],[ Building 1 (kWh)]]:final_electricity__161924263031324547[[#This Row],[Building 3 (kWh)]])</f>
        <v>590.14048000000003</v>
      </c>
      <c r="AE41" s="24">
        <f t="shared" si="18"/>
        <v>0</v>
      </c>
      <c r="AF41" s="24">
        <f t="shared" si="22"/>
        <v>590.14048000000003</v>
      </c>
      <c r="AG41" s="24">
        <f>final_electricity__161924263031324547[[#This Row],[Community]]*'Conversion Technologies'!$E$2</f>
        <v>118.02809600000001</v>
      </c>
      <c r="AH41" s="24">
        <f>final_electricity__161924263031324547[[#This Row],[Energy Sold]]*Tariffs!$E$3</f>
        <v>0</v>
      </c>
    </row>
    <row r="42" spans="8:34" x14ac:dyDescent="0.35">
      <c r="O42" s="29">
        <v>9</v>
      </c>
      <c r="P42" s="24">
        <f t="shared" si="23"/>
        <v>0</v>
      </c>
      <c r="Q42" s="24">
        <f>MIN(N12*'Conversion Technologies'!$I$26, (1-P41)*'Conversion Technologies'!$I$24)</f>
        <v>0</v>
      </c>
      <c r="R42" s="24">
        <f>MIN(R12/'Conversion Technologies'!$I$26,P41)</f>
        <v>0</v>
      </c>
      <c r="S42" s="24">
        <f>B12-H12+(Q42/'Conversion Technologies'!$I$26)-(R42*'Conversion Technologies'!$I$26)</f>
        <v>0.12067999999999998</v>
      </c>
      <c r="U42" s="29">
        <v>10</v>
      </c>
      <c r="V42" s="24">
        <f t="shared" si="15"/>
        <v>0.20848</v>
      </c>
      <c r="W42" s="24">
        <f t="shared" si="16"/>
        <v>277.45080000000002</v>
      </c>
      <c r="X42" s="24">
        <f t="shared" si="17"/>
        <v>355.64859999999999</v>
      </c>
      <c r="Z42" s="29">
        <v>10</v>
      </c>
      <c r="AA42" s="24">
        <f t="shared" si="19"/>
        <v>0.20848</v>
      </c>
      <c r="AB42" s="24">
        <f t="shared" si="20"/>
        <v>277.45080000000002</v>
      </c>
      <c r="AC42" s="24">
        <f t="shared" si="21"/>
        <v>355.64859999999999</v>
      </c>
      <c r="AD42" s="24">
        <f>SUM(final_electricity__161924263031324547[[#This Row],[ Building 1 (kWh)]]:final_electricity__161924263031324547[[#This Row],[Building 3 (kWh)]])</f>
        <v>633.30788000000007</v>
      </c>
      <c r="AE42" s="24">
        <f t="shared" si="18"/>
        <v>0</v>
      </c>
      <c r="AF42" s="24">
        <f t="shared" si="22"/>
        <v>633.30788000000007</v>
      </c>
      <c r="AG42" s="24">
        <f>final_electricity__161924263031324547[[#This Row],[Community]]*'Conversion Technologies'!$E$2</f>
        <v>126.66157600000003</v>
      </c>
      <c r="AH42" s="24">
        <f>final_electricity__161924263031324547[[#This Row],[Energy Sold]]*Tariffs!$E$3</f>
        <v>0</v>
      </c>
    </row>
    <row r="43" spans="8:34" x14ac:dyDescent="0.35">
      <c r="O43" s="29">
        <v>10</v>
      </c>
      <c r="P43" s="24">
        <f t="shared" si="23"/>
        <v>0</v>
      </c>
      <c r="Q43" s="24">
        <f>MIN(N13*'Conversion Technologies'!$I$26, (1-P42)*'Conversion Technologies'!$I$24)</f>
        <v>0</v>
      </c>
      <c r="R43" s="24">
        <f>MIN(R13/'Conversion Technologies'!$I$26,P42)</f>
        <v>0</v>
      </c>
      <c r="S43" s="24">
        <f>B13-H13+(Q43/'Conversion Technologies'!$I$26)-(R43*'Conversion Technologies'!$I$26)</f>
        <v>0.20848</v>
      </c>
      <c r="U43" s="29">
        <v>11</v>
      </c>
      <c r="V43" s="24">
        <f t="shared" si="15"/>
        <v>8.9999999999998415E-4</v>
      </c>
      <c r="W43" s="24">
        <f t="shared" si="16"/>
        <v>289.33600000000001</v>
      </c>
      <c r="X43" s="24">
        <f t="shared" si="17"/>
        <v>390.81599999999997</v>
      </c>
      <c r="Z43" s="29">
        <v>11</v>
      </c>
      <c r="AA43" s="24">
        <f t="shared" si="19"/>
        <v>8.9999999999998415E-4</v>
      </c>
      <c r="AB43" s="24">
        <f t="shared" si="20"/>
        <v>289.33600000000001</v>
      </c>
      <c r="AC43" s="24">
        <f t="shared" si="21"/>
        <v>390.81599999999997</v>
      </c>
      <c r="AD43" s="24">
        <f>SUM(final_electricity__161924263031324547[[#This Row],[ Building 1 (kWh)]]:final_electricity__161924263031324547[[#This Row],[Building 3 (kWh)]])</f>
        <v>680.15290000000005</v>
      </c>
      <c r="AE43" s="24">
        <f t="shared" si="18"/>
        <v>0</v>
      </c>
      <c r="AF43" s="24">
        <f t="shared" si="22"/>
        <v>680.15290000000005</v>
      </c>
      <c r="AG43" s="24">
        <f>final_electricity__161924263031324547[[#This Row],[Community]]*'Conversion Technologies'!$E$2</f>
        <v>136.03058000000001</v>
      </c>
      <c r="AH43" s="24">
        <f>final_electricity__161924263031324547[[#This Row],[Energy Sold]]*Tariffs!$E$3</f>
        <v>0</v>
      </c>
    </row>
    <row r="44" spans="8:34" x14ac:dyDescent="0.35">
      <c r="O44" s="29">
        <v>11</v>
      </c>
      <c r="P44" s="24">
        <f t="shared" si="23"/>
        <v>0</v>
      </c>
      <c r="Q44" s="24">
        <f>MIN(N14*'Conversion Technologies'!$I$26, (1-P43)*'Conversion Technologies'!$I$24)</f>
        <v>0</v>
      </c>
      <c r="R44" s="24">
        <f>MIN(R14/'Conversion Technologies'!$I$26,P43)</f>
        <v>0</v>
      </c>
      <c r="S44" s="24">
        <f>B14-H14+(Q44/'Conversion Technologies'!$I$26)-(R44*'Conversion Technologies'!$I$26)</f>
        <v>8.9999999999998415E-4</v>
      </c>
      <c r="U44" s="29">
        <v>12</v>
      </c>
      <c r="V44" s="24">
        <f t="shared" si="15"/>
        <v>0</v>
      </c>
      <c r="W44" s="24">
        <f t="shared" si="16"/>
        <v>276.68380000000002</v>
      </c>
      <c r="X44" s="24">
        <f t="shared" si="17"/>
        <v>397.11160000000001</v>
      </c>
      <c r="Z44" s="29">
        <v>12</v>
      </c>
      <c r="AA44" s="24">
        <f t="shared" si="19"/>
        <v>-8.7120000000000003E-2</v>
      </c>
      <c r="AB44" s="24">
        <f t="shared" si="20"/>
        <v>276.68380000000002</v>
      </c>
      <c r="AC44" s="24">
        <f t="shared" si="21"/>
        <v>397.11160000000001</v>
      </c>
      <c r="AD44" s="24">
        <f>SUM(final_electricity__161924263031324547[[#This Row],[ Building 1 (kWh)]]:final_electricity__161924263031324547[[#This Row],[Building 3 (kWh)]])</f>
        <v>673.70828000000006</v>
      </c>
      <c r="AE44" s="24">
        <f t="shared" si="18"/>
        <v>0</v>
      </c>
      <c r="AF44" s="24">
        <f t="shared" si="22"/>
        <v>673.70828000000006</v>
      </c>
      <c r="AG44" s="24">
        <f>final_electricity__161924263031324547[[#This Row],[Community]]*'Conversion Technologies'!$E$2</f>
        <v>134.74165600000001</v>
      </c>
      <c r="AH44" s="24">
        <f>final_electricity__161924263031324547[[#This Row],[Energy Sold]]*Tariffs!$E$3</f>
        <v>0</v>
      </c>
    </row>
    <row r="45" spans="8:34" x14ac:dyDescent="0.35">
      <c r="O45" s="29">
        <v>12</v>
      </c>
      <c r="P45" s="24">
        <f t="shared" si="23"/>
        <v>8.2764000000000004E-2</v>
      </c>
      <c r="Q45" s="24">
        <f>MIN(N15*'Conversion Technologies'!$I$26, (1-P44)*'Conversion Technologies'!$I$24)</f>
        <v>8.2764000000000004E-2</v>
      </c>
      <c r="R45" s="24">
        <f>MIN(R15/'Conversion Technologies'!$I$26,P44)</f>
        <v>0</v>
      </c>
      <c r="S45" s="24">
        <f>B15-H15+(Q45/'Conversion Technologies'!$I$26)-(R45*'Conversion Technologies'!$I$26)</f>
        <v>0</v>
      </c>
      <c r="U45" s="29">
        <v>13</v>
      </c>
      <c r="V45" s="24">
        <f t="shared" si="15"/>
        <v>0</v>
      </c>
      <c r="W45" s="24">
        <f t="shared" si="16"/>
        <v>296.0487</v>
      </c>
      <c r="X45" s="24">
        <f t="shared" si="17"/>
        <v>367.75439999999998</v>
      </c>
      <c r="Z45" s="29">
        <v>13</v>
      </c>
      <c r="AA45" s="24">
        <f t="shared" si="19"/>
        <v>-0.13073000000000001</v>
      </c>
      <c r="AB45" s="24">
        <f t="shared" si="20"/>
        <v>296.0487</v>
      </c>
      <c r="AC45" s="24">
        <f t="shared" si="21"/>
        <v>367.75439999999998</v>
      </c>
      <c r="AD45" s="24">
        <f>SUM(final_electricity__161924263031324547[[#This Row],[ Building 1 (kWh)]]:final_electricity__161924263031324547[[#This Row],[Building 3 (kWh)]])</f>
        <v>663.67237</v>
      </c>
      <c r="AE45" s="24">
        <f t="shared" si="18"/>
        <v>0</v>
      </c>
      <c r="AF45" s="24">
        <f t="shared" si="22"/>
        <v>663.67237</v>
      </c>
      <c r="AG45" s="24">
        <f>final_electricity__161924263031324547[[#This Row],[Community]]*'Conversion Technologies'!$E$2</f>
        <v>132.73447400000001</v>
      </c>
      <c r="AH45" s="24">
        <f>final_electricity__161924263031324547[[#This Row],[Energy Sold]]*Tariffs!$E$3</f>
        <v>0</v>
      </c>
    </row>
    <row r="46" spans="8:34" x14ac:dyDescent="0.35">
      <c r="O46" s="29">
        <v>13</v>
      </c>
      <c r="P46" s="24">
        <f t="shared" si="23"/>
        <v>0.20695750000000002</v>
      </c>
      <c r="Q46" s="24">
        <f>MIN(N16*'Conversion Technologies'!$I$26, (1-P45)*'Conversion Technologies'!$I$24)</f>
        <v>0.12419350000000001</v>
      </c>
      <c r="R46" s="24">
        <f>MIN(R16/'Conversion Technologies'!$I$26,P45)</f>
        <v>0</v>
      </c>
      <c r="S46" s="24">
        <f>B16-H16+(Q46/'Conversion Technologies'!$I$26)-(R46*'Conversion Technologies'!$I$26)</f>
        <v>0</v>
      </c>
      <c r="U46" s="29">
        <v>14</v>
      </c>
      <c r="V46" s="24">
        <f t="shared" si="15"/>
        <v>0</v>
      </c>
      <c r="W46" s="24">
        <f t="shared" si="16"/>
        <v>320.85129999999998</v>
      </c>
      <c r="X46" s="24">
        <f t="shared" si="17"/>
        <v>353.7056</v>
      </c>
      <c r="Z46" s="29">
        <v>14</v>
      </c>
      <c r="AA46" s="24">
        <f t="shared" si="19"/>
        <v>-2.1370000000000028E-2</v>
      </c>
      <c r="AB46" s="24">
        <f t="shared" si="20"/>
        <v>320.85129999999998</v>
      </c>
      <c r="AC46" s="24">
        <f t="shared" si="21"/>
        <v>353.7056</v>
      </c>
      <c r="AD46" s="24">
        <f>SUM(final_electricity__161924263031324547[[#This Row],[ Building 1 (kWh)]]:final_electricity__161924263031324547[[#This Row],[Building 3 (kWh)]])</f>
        <v>674.53552999999999</v>
      </c>
      <c r="AE46" s="24">
        <f t="shared" si="18"/>
        <v>0</v>
      </c>
      <c r="AF46" s="24">
        <f t="shared" si="22"/>
        <v>674.53552999999999</v>
      </c>
      <c r="AG46" s="24">
        <f>final_electricity__161924263031324547[[#This Row],[Community]]*'Conversion Technologies'!$E$2</f>
        <v>134.907106</v>
      </c>
      <c r="AH46" s="24">
        <f>final_electricity__161924263031324547[[#This Row],[Energy Sold]]*Tariffs!$E$3</f>
        <v>0</v>
      </c>
    </row>
    <row r="47" spans="8:34" x14ac:dyDescent="0.35">
      <c r="O47" s="29">
        <v>14</v>
      </c>
      <c r="P47" s="24">
        <f t="shared" si="23"/>
        <v>0.22725900000000004</v>
      </c>
      <c r="Q47" s="24">
        <f>MIN(N17*'Conversion Technologies'!$I$26, (1-P46)*'Conversion Technologies'!$I$24)</f>
        <v>2.0301500000000024E-2</v>
      </c>
      <c r="R47" s="24">
        <f>MIN(R17/'Conversion Technologies'!$I$26,P46)</f>
        <v>0</v>
      </c>
      <c r="S47" s="24">
        <f>B17-H17+(Q47/'Conversion Technologies'!$I$26)-(R47*'Conversion Technologies'!$I$26)</f>
        <v>0</v>
      </c>
      <c r="U47" s="29">
        <v>15</v>
      </c>
      <c r="V47" s="24">
        <f t="shared" si="15"/>
        <v>0</v>
      </c>
      <c r="W47" s="24">
        <f t="shared" si="16"/>
        <v>323.82260000000002</v>
      </c>
      <c r="X47" s="24">
        <f t="shared" si="17"/>
        <v>363.20519999999999</v>
      </c>
      <c r="Z47" s="29">
        <v>15</v>
      </c>
      <c r="AA47" s="24">
        <f t="shared" si="19"/>
        <v>3.2360000000000028E-2</v>
      </c>
      <c r="AB47" s="24">
        <f t="shared" si="20"/>
        <v>323.82260000000002</v>
      </c>
      <c r="AC47" s="24">
        <f t="shared" si="21"/>
        <v>363.20519999999999</v>
      </c>
      <c r="AD47" s="24">
        <f>SUM(final_electricity__161924263031324547[[#This Row],[ Building 1 (kWh)]]:final_electricity__161924263031324547[[#This Row],[Building 3 (kWh)]])</f>
        <v>687.06016</v>
      </c>
      <c r="AE47" s="24">
        <f t="shared" si="18"/>
        <v>0</v>
      </c>
      <c r="AF47" s="24">
        <f t="shared" si="22"/>
        <v>687.06016</v>
      </c>
      <c r="AG47" s="24">
        <f>final_electricity__161924263031324547[[#This Row],[Community]]*'Conversion Technologies'!$E$2</f>
        <v>137.41203200000001</v>
      </c>
      <c r="AH47" s="24">
        <f>final_electricity__161924263031324547[[#This Row],[Energy Sold]]*Tariffs!$E$3</f>
        <v>0</v>
      </c>
    </row>
    <row r="48" spans="8:34" x14ac:dyDescent="0.35">
      <c r="O48" s="29">
        <v>15</v>
      </c>
      <c r="P48" s="24">
        <f t="shared" si="23"/>
        <v>0.19319584210526317</v>
      </c>
      <c r="Q48" s="24">
        <f>MIN(N18*'Conversion Technologies'!$I$26, (1-P47)*'Conversion Technologies'!$I$24)</f>
        <v>0</v>
      </c>
      <c r="R48" s="24">
        <f>MIN(R18/'Conversion Technologies'!$I$26,P47)</f>
        <v>3.4063157894736872E-2</v>
      </c>
      <c r="S48" s="24">
        <f>B18-H18+(Q48/'Conversion Technologies'!$I$26)-(R48*'Conversion Technologies'!$I$26)</f>
        <v>0</v>
      </c>
      <c r="U48" s="29">
        <v>16</v>
      </c>
      <c r="V48" s="24">
        <f t="shared" si="15"/>
        <v>0</v>
      </c>
      <c r="W48" s="24">
        <f t="shared" si="16"/>
        <v>304.12369999999999</v>
      </c>
      <c r="X48" s="24">
        <f t="shared" si="17"/>
        <v>353.16540000000003</v>
      </c>
      <c r="Z48" s="29">
        <v>16</v>
      </c>
      <c r="AA48" s="24">
        <f t="shared" si="19"/>
        <v>-2.0730000000000026E-2</v>
      </c>
      <c r="AB48" s="24">
        <f t="shared" si="20"/>
        <v>304.12369999999999</v>
      </c>
      <c r="AC48" s="24">
        <f t="shared" si="21"/>
        <v>353.16540000000003</v>
      </c>
      <c r="AD48" s="24">
        <f>SUM(final_electricity__161924263031324547[[#This Row],[ Building 1 (kWh)]]:final_electricity__161924263031324547[[#This Row],[Building 3 (kWh)]])</f>
        <v>657.26837</v>
      </c>
      <c r="AE48" s="24">
        <f t="shared" si="18"/>
        <v>0</v>
      </c>
      <c r="AF48" s="24">
        <f t="shared" si="22"/>
        <v>657.26837</v>
      </c>
      <c r="AG48" s="24">
        <f>final_electricity__161924263031324547[[#This Row],[Community]]*'Conversion Technologies'!$E$2</f>
        <v>131.45367400000001</v>
      </c>
      <c r="AH48" s="24">
        <f>final_electricity__161924263031324547[[#This Row],[Energy Sold]]*Tariffs!$E$3</f>
        <v>0</v>
      </c>
    </row>
    <row r="49" spans="15:34" x14ac:dyDescent="0.35">
      <c r="O49" s="29">
        <v>16</v>
      </c>
      <c r="P49" s="24">
        <f t="shared" si="23"/>
        <v>0.2128893421052632</v>
      </c>
      <c r="Q49" s="24">
        <f>MIN(N19*'Conversion Technologies'!$I$26, (1-P48)*'Conversion Technologies'!$I$24)</f>
        <v>1.9693500000000023E-2</v>
      </c>
      <c r="R49" s="24">
        <f>MIN(R19/'Conversion Technologies'!$I$26,P48)</f>
        <v>0</v>
      </c>
      <c r="S49" s="24">
        <f>B19-H19+(Q49/'Conversion Technologies'!$I$26)-(R49*'Conversion Technologies'!$I$26)</f>
        <v>0</v>
      </c>
      <c r="U49" s="29">
        <v>17</v>
      </c>
      <c r="V49" s="24">
        <f t="shared" si="15"/>
        <v>0</v>
      </c>
      <c r="W49" s="24">
        <f t="shared" si="16"/>
        <v>270.27429999999998</v>
      </c>
      <c r="X49" s="24">
        <f t="shared" si="17"/>
        <v>327.04059999999998</v>
      </c>
      <c r="Z49" s="29">
        <v>17</v>
      </c>
      <c r="AA49" s="24">
        <f t="shared" si="19"/>
        <v>0.10862999999999998</v>
      </c>
      <c r="AB49" s="24">
        <f t="shared" si="20"/>
        <v>270.27429999999998</v>
      </c>
      <c r="AC49" s="24">
        <f t="shared" si="21"/>
        <v>327.04059999999998</v>
      </c>
      <c r="AD49" s="24">
        <f>SUM(final_electricity__161924263031324547[[#This Row],[ Building 1 (kWh)]]:final_electricity__161924263031324547[[#This Row],[Building 3 (kWh)]])</f>
        <v>597.42353000000003</v>
      </c>
      <c r="AE49" s="24">
        <f t="shared" si="18"/>
        <v>0</v>
      </c>
      <c r="AF49" s="24">
        <f t="shared" si="22"/>
        <v>597.42353000000003</v>
      </c>
      <c r="AG49" s="24">
        <f>final_electricity__161924263031324547[[#This Row],[Community]]*'Conversion Technologies'!$E$2</f>
        <v>119.48470600000002</v>
      </c>
      <c r="AH49" s="24">
        <f>final_electricity__161924263031324547[[#This Row],[Energy Sold]]*Tariffs!$E$3</f>
        <v>0</v>
      </c>
    </row>
    <row r="50" spans="15:34" x14ac:dyDescent="0.35">
      <c r="O50" s="29">
        <v>17</v>
      </c>
      <c r="P50" s="24">
        <f t="shared" si="23"/>
        <v>9.8541973684210582E-2</v>
      </c>
      <c r="Q50" s="24">
        <f>MIN(N20*'Conversion Technologies'!$I$26, (1-P49)*'Conversion Technologies'!$I$24)</f>
        <v>0</v>
      </c>
      <c r="R50" s="24">
        <f>MIN(R20/'Conversion Technologies'!$I$26,P49)</f>
        <v>0.11434736842105261</v>
      </c>
      <c r="S50" s="24">
        <f>B20-H20+(Q50/'Conversion Technologies'!$I$26)-(R50*'Conversion Technologies'!$I$26)</f>
        <v>0</v>
      </c>
      <c r="U50" s="29">
        <v>18</v>
      </c>
      <c r="V50" s="24">
        <f t="shared" si="15"/>
        <v>5.6275124999999926E-2</v>
      </c>
      <c r="W50" s="24">
        <f t="shared" si="16"/>
        <v>223.88990000000001</v>
      </c>
      <c r="X50" s="24">
        <f t="shared" si="17"/>
        <v>279.55380000000002</v>
      </c>
      <c r="Z50" s="29">
        <v>18</v>
      </c>
      <c r="AA50" s="24">
        <f t="shared" si="19"/>
        <v>0.14988999999999997</v>
      </c>
      <c r="AB50" s="24">
        <f t="shared" si="20"/>
        <v>223.88990000000001</v>
      </c>
      <c r="AC50" s="24">
        <f t="shared" si="21"/>
        <v>279.55380000000002</v>
      </c>
      <c r="AD50" s="24">
        <f>SUM(final_electricity__161924263031324547[[#This Row],[ Building 1 (kWh)]]:final_electricity__161924263031324547[[#This Row],[Building 3 (kWh)]])</f>
        <v>503.59359000000006</v>
      </c>
      <c r="AE50" s="24">
        <f t="shared" si="18"/>
        <v>0</v>
      </c>
      <c r="AF50" s="24">
        <f t="shared" si="22"/>
        <v>503.59359000000006</v>
      </c>
      <c r="AG50" s="24">
        <f>final_electricity__161924263031324547[[#This Row],[Community]]*'Conversion Technologies'!$E$2</f>
        <v>100.71871800000002</v>
      </c>
      <c r="AH50" s="24">
        <f>final_electricity__161924263031324547[[#This Row],[Energy Sold]]*Tariffs!$E$3</f>
        <v>0</v>
      </c>
    </row>
    <row r="51" spans="15:34" x14ac:dyDescent="0.35">
      <c r="O51" s="29">
        <v>18</v>
      </c>
      <c r="P51" s="24">
        <f t="shared" si="23"/>
        <v>0</v>
      </c>
      <c r="Q51" s="24">
        <f>MIN(N21*'Conversion Technologies'!$I$26, (1-P50)*'Conversion Technologies'!$I$24)</f>
        <v>0</v>
      </c>
      <c r="R51" s="24">
        <f>MIN(R21/'Conversion Technologies'!$I$26,P50)</f>
        <v>9.8541973684210582E-2</v>
      </c>
      <c r="S51" s="24">
        <f>B21-H21+(Q51/'Conversion Technologies'!$I$26)-(R51*'Conversion Technologies'!$I$26)</f>
        <v>5.6275124999999926E-2</v>
      </c>
      <c r="U51" s="29">
        <v>19</v>
      </c>
      <c r="V51" s="24">
        <f t="shared" si="15"/>
        <v>0.154</v>
      </c>
      <c r="W51" s="24">
        <f t="shared" si="16"/>
        <v>200.375</v>
      </c>
      <c r="X51" s="24">
        <f t="shared" si="17"/>
        <v>220.05699999999999</v>
      </c>
      <c r="Z51" s="29">
        <v>19</v>
      </c>
      <c r="AA51" s="24">
        <f t="shared" si="19"/>
        <v>0.154</v>
      </c>
      <c r="AB51" s="24">
        <f t="shared" si="20"/>
        <v>200.375</v>
      </c>
      <c r="AC51" s="24">
        <f t="shared" si="21"/>
        <v>220.05699999999999</v>
      </c>
      <c r="AD51" s="24">
        <f>SUM(final_electricity__161924263031324547[[#This Row],[ Building 1 (kWh)]]:final_electricity__161924263031324547[[#This Row],[Building 3 (kWh)]])</f>
        <v>420.58600000000001</v>
      </c>
      <c r="AE51" s="24">
        <f t="shared" si="18"/>
        <v>0</v>
      </c>
      <c r="AF51" s="24">
        <f t="shared" si="22"/>
        <v>420.58600000000001</v>
      </c>
      <c r="AG51" s="24">
        <f>final_electricity__161924263031324547[[#This Row],[Community]]*'Conversion Technologies'!$E$2</f>
        <v>84.117200000000011</v>
      </c>
      <c r="AH51" s="24">
        <f>final_electricity__161924263031324547[[#This Row],[Energy Sold]]*Tariffs!$E$3</f>
        <v>0</v>
      </c>
    </row>
    <row r="52" spans="15:34" x14ac:dyDescent="0.35">
      <c r="O52" s="29">
        <v>19</v>
      </c>
      <c r="P52" s="24">
        <f t="shared" si="23"/>
        <v>0</v>
      </c>
      <c r="Q52" s="24">
        <f>MIN(N22*'Conversion Technologies'!$I$26, (1-P51)*'Conversion Technologies'!$I$24)</f>
        <v>0</v>
      </c>
      <c r="R52" s="24">
        <f>MIN(R22/'Conversion Technologies'!$I$26,P51)</f>
        <v>0</v>
      </c>
      <c r="S52" s="24">
        <f>B22-H22+(Q52/'Conversion Technologies'!$I$26)-(R52*'Conversion Technologies'!$I$26)</f>
        <v>0.154</v>
      </c>
      <c r="U52" s="29">
        <v>20</v>
      </c>
      <c r="V52" s="24">
        <f t="shared" si="15"/>
        <v>0.65300000000000002</v>
      </c>
      <c r="W52" s="24">
        <f t="shared" si="16"/>
        <v>163.98</v>
      </c>
      <c r="X52" s="24">
        <f t="shared" si="17"/>
        <v>178.715</v>
      </c>
      <c r="Z52" s="29">
        <v>20</v>
      </c>
      <c r="AA52" s="24">
        <f t="shared" si="19"/>
        <v>0.65300000000000002</v>
      </c>
      <c r="AB52" s="24">
        <f t="shared" si="20"/>
        <v>163.98</v>
      </c>
      <c r="AC52" s="24">
        <f t="shared" si="21"/>
        <v>178.715</v>
      </c>
      <c r="AD52" s="24">
        <f>SUM(final_electricity__161924263031324547[[#This Row],[ Building 1 (kWh)]]:final_electricity__161924263031324547[[#This Row],[Building 3 (kWh)]])</f>
        <v>343.34799999999996</v>
      </c>
      <c r="AE52" s="24">
        <f t="shared" si="18"/>
        <v>0</v>
      </c>
      <c r="AF52" s="24">
        <f t="shared" si="22"/>
        <v>343.34799999999996</v>
      </c>
      <c r="AG52" s="24">
        <f>final_electricity__161924263031324547[[#This Row],[Community]]*'Conversion Technologies'!$E$2</f>
        <v>68.669599999999988</v>
      </c>
      <c r="AH52" s="24">
        <f>final_electricity__161924263031324547[[#This Row],[Energy Sold]]*Tariffs!$E$3</f>
        <v>0</v>
      </c>
    </row>
    <row r="53" spans="15:34" x14ac:dyDescent="0.35">
      <c r="O53" s="29">
        <v>20</v>
      </c>
      <c r="P53" s="24">
        <f t="shared" si="23"/>
        <v>0</v>
      </c>
      <c r="Q53" s="24">
        <f>MIN(N23*'Conversion Technologies'!$I$26, (1-P52)*'Conversion Technologies'!$I$24)</f>
        <v>0</v>
      </c>
      <c r="R53" s="24">
        <f>MIN(R23/'Conversion Technologies'!$I$26,P52)</f>
        <v>0</v>
      </c>
      <c r="S53" s="24">
        <f>B23-H23+(Q53/'Conversion Technologies'!$I$26)-(R53*'Conversion Technologies'!$I$26)</f>
        <v>0.65300000000000002</v>
      </c>
      <c r="U53" s="29">
        <v>21</v>
      </c>
      <c r="V53" s="24">
        <f t="shared" si="15"/>
        <v>1.663</v>
      </c>
      <c r="W53" s="24">
        <f t="shared" si="16"/>
        <v>148.77500000000001</v>
      </c>
      <c r="X53" s="24">
        <f t="shared" si="17"/>
        <v>153.333</v>
      </c>
      <c r="Z53" s="29">
        <v>21</v>
      </c>
      <c r="AA53" s="24">
        <f t="shared" si="19"/>
        <v>1.663</v>
      </c>
      <c r="AB53" s="24">
        <f t="shared" si="20"/>
        <v>148.77500000000001</v>
      </c>
      <c r="AC53" s="24">
        <f t="shared" si="21"/>
        <v>153.333</v>
      </c>
      <c r="AD53" s="24">
        <f>SUM(final_electricity__161924263031324547[[#This Row],[ Building 1 (kWh)]]:final_electricity__161924263031324547[[#This Row],[Building 3 (kWh)]])</f>
        <v>303.77100000000002</v>
      </c>
      <c r="AE53" s="24">
        <f t="shared" si="18"/>
        <v>0</v>
      </c>
      <c r="AF53" s="24">
        <f t="shared" si="22"/>
        <v>303.77100000000002</v>
      </c>
      <c r="AG53" s="24">
        <f>final_electricity__161924263031324547[[#This Row],[Community]]*'Conversion Technologies'!$E$2</f>
        <v>60.754200000000004</v>
      </c>
      <c r="AH53" s="24">
        <f>final_electricity__161924263031324547[[#This Row],[Energy Sold]]*Tariffs!$E$3</f>
        <v>0</v>
      </c>
    </row>
    <row r="54" spans="15:34" x14ac:dyDescent="0.35">
      <c r="O54" s="29">
        <v>21</v>
      </c>
      <c r="P54" s="24">
        <f t="shared" si="23"/>
        <v>0</v>
      </c>
      <c r="Q54" s="24">
        <f>MIN(N24*'Conversion Technologies'!$I$26, (1-P53)*'Conversion Technologies'!$I$24)</f>
        <v>0</v>
      </c>
      <c r="R54" s="24">
        <f>MIN(R24/'Conversion Technologies'!$I$26,P53)</f>
        <v>0</v>
      </c>
      <c r="S54" s="24">
        <f>B24-H24+(Q54/'Conversion Technologies'!$I$26)-(R54*'Conversion Technologies'!$I$26)</f>
        <v>1.663</v>
      </c>
      <c r="U54" s="29">
        <v>22</v>
      </c>
      <c r="V54" s="24">
        <f t="shared" si="15"/>
        <v>0.755</v>
      </c>
      <c r="W54" s="24">
        <f t="shared" si="16"/>
        <v>128.393</v>
      </c>
      <c r="X54" s="24">
        <f t="shared" si="17"/>
        <v>138.67599999999999</v>
      </c>
      <c r="Z54" s="29">
        <v>22</v>
      </c>
      <c r="AA54" s="24">
        <f t="shared" si="19"/>
        <v>0.755</v>
      </c>
      <c r="AB54" s="24">
        <f t="shared" si="20"/>
        <v>128.393</v>
      </c>
      <c r="AC54" s="24">
        <f t="shared" si="21"/>
        <v>138.67599999999999</v>
      </c>
      <c r="AD54" s="24">
        <f>SUM(final_electricity__161924263031324547[[#This Row],[ Building 1 (kWh)]]:final_electricity__161924263031324547[[#This Row],[Building 3 (kWh)]])</f>
        <v>267.82399999999996</v>
      </c>
      <c r="AE54" s="24">
        <f t="shared" si="18"/>
        <v>0</v>
      </c>
      <c r="AF54" s="24">
        <f t="shared" si="22"/>
        <v>267.82399999999996</v>
      </c>
      <c r="AG54" s="24">
        <f>final_electricity__161924263031324547[[#This Row],[Community]]*'Conversion Technologies'!$E$2</f>
        <v>53.564799999999991</v>
      </c>
      <c r="AH54" s="24">
        <f>final_electricity__161924263031324547[[#This Row],[Energy Sold]]*Tariffs!$E$3</f>
        <v>0</v>
      </c>
    </row>
    <row r="55" spans="15:34" x14ac:dyDescent="0.35">
      <c r="O55" s="29">
        <v>22</v>
      </c>
      <c r="P55" s="24">
        <f t="shared" si="23"/>
        <v>0</v>
      </c>
      <c r="Q55" s="24">
        <f>MIN(N25*'Conversion Technologies'!$I$26, (1-P54)*'Conversion Technologies'!$I$24)</f>
        <v>0</v>
      </c>
      <c r="R55" s="24">
        <f>MIN(R25/'Conversion Technologies'!$I$26,P54)</f>
        <v>0</v>
      </c>
      <c r="S55" s="24">
        <f>B25-H25+(Q55/'Conversion Technologies'!$I$26)-(R55*'Conversion Technologies'!$I$26)</f>
        <v>0.755</v>
      </c>
      <c r="U55" s="29">
        <v>23</v>
      </c>
      <c r="V55" s="24">
        <f t="shared" si="15"/>
        <v>0.44400000000000001</v>
      </c>
      <c r="W55" s="24">
        <f t="shared" si="16"/>
        <v>121.883</v>
      </c>
      <c r="X55" s="24">
        <f t="shared" si="17"/>
        <v>135.27199999999999</v>
      </c>
      <c r="Z55" s="29">
        <v>23</v>
      </c>
      <c r="AA55" s="24">
        <f t="shared" si="19"/>
        <v>0.44400000000000001</v>
      </c>
      <c r="AB55" s="24">
        <f t="shared" si="20"/>
        <v>121.883</v>
      </c>
      <c r="AC55" s="24">
        <f t="shared" si="21"/>
        <v>135.27199999999999</v>
      </c>
      <c r="AD55" s="24">
        <f>SUM(final_electricity__161924263031324547[[#This Row],[ Building 1 (kWh)]]:final_electricity__161924263031324547[[#This Row],[Building 3 (kWh)]])</f>
        <v>257.59899999999999</v>
      </c>
      <c r="AE55" s="24">
        <f t="shared" si="18"/>
        <v>0</v>
      </c>
      <c r="AF55" s="24">
        <f t="shared" si="22"/>
        <v>257.59899999999999</v>
      </c>
      <c r="AG55" s="24">
        <f>final_electricity__161924263031324547[[#This Row],[Community]]*'Conversion Technologies'!$E$2</f>
        <v>51.519800000000004</v>
      </c>
      <c r="AH55" s="24">
        <f>final_electricity__161924263031324547[[#This Row],[Energy Sold]]*Tariffs!$E$3</f>
        <v>0</v>
      </c>
    </row>
    <row r="56" spans="15:34" x14ac:dyDescent="0.35">
      <c r="O56" s="29">
        <v>23</v>
      </c>
      <c r="P56" s="24">
        <f t="shared" si="23"/>
        <v>0</v>
      </c>
      <c r="Q56" s="24">
        <f>MIN(N26*'Conversion Technologies'!$I$26, (1-P55)*'Conversion Technologies'!$I$24)</f>
        <v>0</v>
      </c>
      <c r="R56" s="24">
        <f>MIN(R26/'Conversion Technologies'!$I$26,P55)</f>
        <v>0</v>
      </c>
      <c r="S56" s="24">
        <f>B26-H26+(Q56/'Conversion Technologies'!$I$26)-(R56*'Conversion Technologies'!$I$26)</f>
        <v>0.44400000000000001</v>
      </c>
      <c r="U56" s="30" t="s">
        <v>165</v>
      </c>
      <c r="V56" s="24">
        <f t="shared" si="15"/>
        <v>23.203656746047866</v>
      </c>
      <c r="W56" s="24">
        <f t="shared" si="16"/>
        <v>4842.9388999999992</v>
      </c>
      <c r="X56" s="24">
        <f t="shared" si="17"/>
        <v>5656.0891999999994</v>
      </c>
      <c r="Z56" s="30" t="s">
        <v>165</v>
      </c>
      <c r="AA56" s="24">
        <f>SUM(AA32:AA55)</f>
        <v>24.128311621047871</v>
      </c>
      <c r="AB56" s="24">
        <f t="shared" ref="AB56:AD56" si="24">SUM(AB32:AB55)</f>
        <v>4842.9388999999992</v>
      </c>
      <c r="AC56" s="24">
        <f t="shared" si="24"/>
        <v>5656.0891999999994</v>
      </c>
      <c r="AD56" s="24">
        <f t="shared" si="24"/>
        <v>10523.15641162105</v>
      </c>
      <c r="AE56" s="24">
        <f t="shared" si="18"/>
        <v>0</v>
      </c>
      <c r="AF56" s="27">
        <f>SUM(AF32:AF55)</f>
        <v>10523.15641162105</v>
      </c>
      <c r="AG56" s="27">
        <f>SUM(AG32:AG55)</f>
        <v>2104.6312823242101</v>
      </c>
      <c r="AH56" s="27">
        <f>SUM(AH32:AH55)</f>
        <v>0</v>
      </c>
    </row>
    <row r="57" spans="15:34" x14ac:dyDescent="0.35">
      <c r="O57" s="30" t="s">
        <v>165</v>
      </c>
      <c r="P57" s="24" t="s">
        <v>223</v>
      </c>
      <c r="Q57" s="24">
        <f>SUM(Q33:Q56)</f>
        <v>0.24695250000000007</v>
      </c>
      <c r="R57" s="24">
        <f>SUM(R33:R56)</f>
        <v>1.2469524999999999</v>
      </c>
      <c r="S57" s="24">
        <f>SUM(S33:S56)</f>
        <v>23.203656746047866</v>
      </c>
    </row>
    <row r="59" spans="15:34" x14ac:dyDescent="0.35">
      <c r="AE59" s="23"/>
      <c r="AG59" s="23"/>
    </row>
  </sheetData>
  <mergeCells count="18">
    <mergeCell ref="AN1:AQ1"/>
    <mergeCell ref="AS1:AV1"/>
    <mergeCell ref="AA30:AE30"/>
    <mergeCell ref="AF30:AJ30"/>
    <mergeCell ref="AK1:AL1"/>
    <mergeCell ref="AA1:AD1"/>
    <mergeCell ref="AF1:AI1"/>
    <mergeCell ref="I37:J37"/>
    <mergeCell ref="I38:J38"/>
    <mergeCell ref="Q1:T1"/>
    <mergeCell ref="V1:Y1"/>
    <mergeCell ref="U30:X30"/>
    <mergeCell ref="A1:E1"/>
    <mergeCell ref="G1:K1"/>
    <mergeCell ref="M1:O1"/>
    <mergeCell ref="I35:J35"/>
    <mergeCell ref="I36:J36"/>
    <mergeCell ref="O30:S30"/>
  </mergeCells>
  <pageMargins left="0.7" right="0.7" top="0.75" bottom="0.75" header="0.3" footer="0.3"/>
  <ignoredErrors>
    <ignoredError sqref="E3:E27 K3:K27 S33:S57 S27:T27 AD32:AD56 AG33:AG56 AH32:AH55" calculatedColumn="1"/>
  </ignoredErrors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A2C9A-D55C-4F60-8873-9C66DE4D445F}">
  <sheetPr codeName="Sheet13"/>
  <dimension ref="A1:AO36"/>
  <sheetViews>
    <sheetView topLeftCell="A12" zoomScale="60" zoomScaleNormal="60" workbookViewId="0">
      <selection activeCell="I38" sqref="I38"/>
    </sheetView>
  </sheetViews>
  <sheetFormatPr defaultRowHeight="14.5" x14ac:dyDescent="0.35"/>
  <cols>
    <col min="1" max="1" width="9.81640625" customWidth="1"/>
    <col min="2" max="2" width="13.90625" customWidth="1"/>
    <col min="3" max="3" width="13.36328125" customWidth="1"/>
    <col min="4" max="4" width="13.26953125" customWidth="1"/>
    <col min="5" max="5" width="15.81640625" customWidth="1"/>
    <col min="6" max="6" width="6.6328125" customWidth="1"/>
    <col min="7" max="7" width="9.81640625" customWidth="1"/>
    <col min="8" max="8" width="13.81640625" customWidth="1"/>
    <col min="9" max="9" width="13.08984375" customWidth="1"/>
    <col min="10" max="10" width="17.54296875" customWidth="1"/>
    <col min="11" max="11" width="15.26953125" customWidth="1"/>
    <col min="12" max="12" width="6.6328125" customWidth="1"/>
    <col min="13" max="13" width="13.54296875" customWidth="1"/>
    <col min="14" max="14" width="13.90625" customWidth="1"/>
    <col min="15" max="15" width="13.54296875" customWidth="1"/>
    <col min="16" max="16" width="13.453125" customWidth="1"/>
    <col min="17" max="29" width="16.08984375" customWidth="1"/>
    <col min="31" max="31" width="10.08984375" customWidth="1"/>
    <col min="32" max="32" width="14.7265625" customWidth="1"/>
    <col min="33" max="33" width="13.6328125" customWidth="1"/>
    <col min="34" max="34" width="13.90625" customWidth="1"/>
    <col min="35" max="35" width="15.26953125" customWidth="1"/>
    <col min="37" max="37" width="9.90625" customWidth="1"/>
    <col min="38" max="38" width="14.1796875" customWidth="1"/>
    <col min="39" max="39" width="13.90625" customWidth="1"/>
    <col min="40" max="40" width="12.81640625" customWidth="1"/>
    <col min="41" max="41" width="15.54296875" customWidth="1"/>
  </cols>
  <sheetData>
    <row r="1" spans="1:41" ht="18.5" x14ac:dyDescent="0.45">
      <c r="A1" s="107" t="s">
        <v>173</v>
      </c>
      <c r="B1" s="107"/>
      <c r="C1" s="107"/>
      <c r="D1" s="107"/>
      <c r="E1" s="107"/>
      <c r="G1" s="106" t="s">
        <v>175</v>
      </c>
      <c r="H1" s="106"/>
      <c r="I1" s="106"/>
      <c r="J1" s="106"/>
      <c r="K1" s="106"/>
      <c r="M1" s="106" t="s">
        <v>206</v>
      </c>
      <c r="N1" s="106"/>
      <c r="O1" s="106"/>
      <c r="P1" s="106"/>
      <c r="Q1" s="106"/>
      <c r="R1" s="46"/>
      <c r="S1" s="106" t="s">
        <v>183</v>
      </c>
      <c r="T1" s="106"/>
      <c r="U1" s="106"/>
      <c r="V1" s="106"/>
      <c r="W1" s="106"/>
      <c r="X1" s="46"/>
      <c r="Y1" s="106" t="s">
        <v>241</v>
      </c>
      <c r="Z1" s="106"/>
      <c r="AA1" s="106"/>
      <c r="AB1" s="106"/>
      <c r="AC1" s="106"/>
      <c r="AD1" s="54"/>
      <c r="AE1" s="106" t="s">
        <v>242</v>
      </c>
      <c r="AF1" s="106"/>
      <c r="AG1" s="106"/>
      <c r="AH1" s="106"/>
      <c r="AI1" s="106"/>
      <c r="AK1" s="106" t="s">
        <v>184</v>
      </c>
      <c r="AL1" s="106"/>
      <c r="AM1" s="106"/>
      <c r="AN1" s="106"/>
      <c r="AO1" s="106"/>
    </row>
    <row r="2" spans="1:41" x14ac:dyDescent="0.35">
      <c r="A2" s="1" t="s">
        <v>3</v>
      </c>
      <c r="B2" s="1" t="s">
        <v>238</v>
      </c>
      <c r="C2" s="1" t="s">
        <v>239</v>
      </c>
      <c r="D2" s="1" t="s">
        <v>240</v>
      </c>
      <c r="E2" s="1" t="s">
        <v>8</v>
      </c>
      <c r="G2" s="24" t="s">
        <v>3</v>
      </c>
      <c r="H2" s="24" t="s">
        <v>238</v>
      </c>
      <c r="I2" s="24" t="s">
        <v>239</v>
      </c>
      <c r="J2" s="24" t="s">
        <v>240</v>
      </c>
      <c r="K2" s="24" t="s">
        <v>8</v>
      </c>
      <c r="M2" s="24" t="s">
        <v>3</v>
      </c>
      <c r="N2" s="24" t="s">
        <v>238</v>
      </c>
      <c r="O2" s="24" t="s">
        <v>239</v>
      </c>
      <c r="P2" s="24" t="s">
        <v>240</v>
      </c>
      <c r="Q2" s="24" t="s">
        <v>8</v>
      </c>
      <c r="R2" s="24"/>
      <c r="S2" s="24" t="s">
        <v>3</v>
      </c>
      <c r="T2" s="24" t="s">
        <v>238</v>
      </c>
      <c r="U2" s="24" t="s">
        <v>239</v>
      </c>
      <c r="V2" s="24" t="s">
        <v>240</v>
      </c>
      <c r="W2" s="24" t="s">
        <v>8</v>
      </c>
      <c r="X2" s="24"/>
      <c r="Y2" s="24" t="s">
        <v>3</v>
      </c>
      <c r="Z2" s="24" t="s">
        <v>238</v>
      </c>
      <c r="AA2" s="24" t="s">
        <v>239</v>
      </c>
      <c r="AB2" s="24" t="s">
        <v>240</v>
      </c>
      <c r="AC2" s="24" t="s">
        <v>8</v>
      </c>
      <c r="AE2" s="24" t="s">
        <v>3</v>
      </c>
      <c r="AF2" s="24" t="s">
        <v>238</v>
      </c>
      <c r="AG2" s="24" t="s">
        <v>239</v>
      </c>
      <c r="AH2" s="24" t="s">
        <v>240</v>
      </c>
      <c r="AI2" s="24" t="s">
        <v>8</v>
      </c>
      <c r="AK2" s="24" t="s">
        <v>3</v>
      </c>
      <c r="AL2" s="24" t="s">
        <v>238</v>
      </c>
      <c r="AM2" s="24" t="s">
        <v>239</v>
      </c>
      <c r="AN2" s="24" t="s">
        <v>240</v>
      </c>
      <c r="AO2" s="24" t="s">
        <v>8</v>
      </c>
    </row>
    <row r="3" spans="1:41" x14ac:dyDescent="0.35">
      <c r="A3" s="1">
        <v>0</v>
      </c>
      <c r="B3" s="24">
        <f>final_electricity__16192426[[#This Row],[ Building 1 (kWh)]]</f>
        <v>2.2950851974523809</v>
      </c>
      <c r="C3" s="24">
        <f>final_electricity__16192426[[#This Row],[Building 2 (kWh)]]</f>
        <v>126.105</v>
      </c>
      <c r="D3" s="24">
        <f>final_electricity__16192426[[#This Row],[Building 3 (kWh)]]</f>
        <v>122.83199999999999</v>
      </c>
      <c r="E3" s="24">
        <f t="shared" ref="E3:E27" si="0">SUM(B3:D3)</f>
        <v>251.23208519745239</v>
      </c>
      <c r="G3" s="29">
        <v>0</v>
      </c>
      <c r="H3" s="32">
        <f>$D$34*(final_electricity__118[[#This Row],[Generation]]*10^-3)</f>
        <v>0</v>
      </c>
      <c r="I3" s="32">
        <f>$D$35*(final_electricity__118[[#This Row],[Generation]]*10^-3)</f>
        <v>0</v>
      </c>
      <c r="J3" s="32">
        <f>$D$36*(final_electricity__118[[#This Row],[Generation]]*10^-3)</f>
        <v>0</v>
      </c>
      <c r="K3" s="32">
        <f>SUM(final_electricity__16192426303148[[#This Row],[ B1 (kWh)]]:final_electricity__16192426303148[[#This Row],[B3 (kWh)]])</f>
        <v>0</v>
      </c>
      <c r="M3" s="29">
        <v>0</v>
      </c>
      <c r="N3" s="24">
        <f>B3-H3</f>
        <v>2.2950851974523809</v>
      </c>
      <c r="O3" s="24">
        <f t="shared" ref="O3:Q3" si="1">C3-I3</f>
        <v>126.105</v>
      </c>
      <c r="P3" s="24">
        <f t="shared" si="1"/>
        <v>122.83199999999999</v>
      </c>
      <c r="Q3" s="24">
        <f t="shared" si="1"/>
        <v>251.23208519745239</v>
      </c>
      <c r="R3" s="24"/>
      <c r="S3" s="29">
        <v>0</v>
      </c>
      <c r="T3" s="24">
        <f>final_electricity__16192426303148[[#This Row],[ B1 (kWh)]]*'Conversion Technologies'!$I$8</f>
        <v>0</v>
      </c>
      <c r="U3" s="24">
        <f>final_electricity__16192426303148[[#This Row],[B2 (kWh)]]*'Conversion Technologies'!$I$8</f>
        <v>0</v>
      </c>
      <c r="V3" s="24">
        <f>final_electricity__16192426303148[[#This Row],[B3 (kWh)]]*'Conversion Technologies'!$I$8</f>
        <v>0</v>
      </c>
      <c r="W3" s="24">
        <f>final_electricity__16192426303148[[#This Row],[Community]]*'Conversion Technologies'!$I$8</f>
        <v>0</v>
      </c>
      <c r="X3" s="24"/>
      <c r="Y3" s="29">
        <v>0</v>
      </c>
      <c r="Z3" s="24">
        <f>B3*tariffs[[#This Row],[Building 1 (buy)]]</f>
        <v>0.25016428652230954</v>
      </c>
      <c r="AA3" s="24">
        <f>C3*tariffs[[#This Row],[Building 2 (buy)]]</f>
        <v>14.4642435</v>
      </c>
      <c r="AB3" s="24">
        <f>D3*tariffs[[#This Row],[Building 3 (buy)]]</f>
        <v>14.887238399999999</v>
      </c>
      <c r="AC3" s="24">
        <f>E3*tariffs[[#This Row],[Building 2 (buy)]]</f>
        <v>28.816320172147787</v>
      </c>
      <c r="AE3" s="29">
        <v>0</v>
      </c>
      <c r="AF3" s="24">
        <f>IF(N3&gt;0,N3*tariffs[[#This Row],[Building 1 (buy)]],0)</f>
        <v>0.25016428652230954</v>
      </c>
      <c r="AG3" s="24">
        <f>IF(O3&gt;0,O3*tariffs[[#This Row],[Building 2 (buy)]],0)</f>
        <v>14.4642435</v>
      </c>
      <c r="AH3" s="24">
        <f>IF(P3&gt;0,P3*tariffs[[#This Row],[Building 3 (buy)]],0)</f>
        <v>14.887238399999999</v>
      </c>
      <c r="AI3" s="24">
        <f>IF(Q3&gt;0,Q3*tariffs[[#This Row],[Building 2 (buy)]],0)</f>
        <v>28.816320172147787</v>
      </c>
      <c r="AK3" s="29">
        <v>0</v>
      </c>
      <c r="AL3" s="35">
        <f>IF(N3&lt;0,-N3*tariffs[[#This Row],[Building 1 (sell)]],0)</f>
        <v>0</v>
      </c>
      <c r="AM3" s="35">
        <f>IF(O3&lt;0,-O3*tariffs[[#This Row],[Building 2 (sell)]],0)</f>
        <v>0</v>
      </c>
      <c r="AN3" s="35">
        <f>IF(P3&lt;0,-P3*tariffs[[#This Row],[Building 3 (sell)]],0)</f>
        <v>0</v>
      </c>
      <c r="AO3" s="35">
        <f>IF(Q3&lt;0,-Q3*tariffs[[#This Row],[Building 2 (sell)]],0)</f>
        <v>0</v>
      </c>
    </row>
    <row r="4" spans="1:41" x14ac:dyDescent="0.35">
      <c r="A4" s="1">
        <v>1</v>
      </c>
      <c r="B4" s="24">
        <f>final_electricity__16192426[[#This Row],[ Building 1 (kWh)]]</f>
        <v>0.22495814460000002</v>
      </c>
      <c r="C4" s="24">
        <f>final_electricity__16192426[[#This Row],[Building 2 (kWh)]]</f>
        <v>124.566</v>
      </c>
      <c r="D4" s="24">
        <f>final_electricity__16192426[[#This Row],[Building 3 (kWh)]]</f>
        <v>121.10599999999999</v>
      </c>
      <c r="E4" s="24">
        <f t="shared" si="0"/>
        <v>245.89695814459998</v>
      </c>
      <c r="G4" s="29">
        <v>1</v>
      </c>
      <c r="H4" s="32">
        <f>$D$34*(final_electricity__118[[#This Row],[Generation]]*10^-3)</f>
        <v>0</v>
      </c>
      <c r="I4" s="32">
        <f>$D$35*(final_electricity__118[[#This Row],[Generation]]*10^-3)</f>
        <v>0</v>
      </c>
      <c r="J4" s="32">
        <f>$D$36*(final_electricity__118[[#This Row],[Generation]]*10^-3)</f>
        <v>0</v>
      </c>
      <c r="K4" s="32">
        <f>SUM(final_electricity__16192426303148[[#This Row],[ B1 (kWh)]]:final_electricity__16192426303148[[#This Row],[B3 (kWh)]])</f>
        <v>0</v>
      </c>
      <c r="M4" s="29">
        <v>1</v>
      </c>
      <c r="N4" s="24">
        <f t="shared" ref="N4:N26" si="2">B4-H4</f>
        <v>0.22495814460000002</v>
      </c>
      <c r="O4" s="24">
        <f t="shared" ref="O4:O26" si="3">C4-I4</f>
        <v>124.566</v>
      </c>
      <c r="P4" s="24">
        <f t="shared" ref="P4:P26" si="4">D4-J4</f>
        <v>121.10599999999999</v>
      </c>
      <c r="Q4" s="24">
        <f t="shared" ref="Q4:Q26" si="5">E4-K4</f>
        <v>245.89695814459998</v>
      </c>
      <c r="R4" s="24"/>
      <c r="S4" s="29">
        <v>1</v>
      </c>
      <c r="T4" s="24">
        <f>final_electricity__16192426303148[[#This Row],[ B1 (kWh)]]*'Conversion Technologies'!$I$8</f>
        <v>0</v>
      </c>
      <c r="U4" s="24">
        <f>final_electricity__16192426303148[[#This Row],[B2 (kWh)]]*'Conversion Technologies'!$I$8</f>
        <v>0</v>
      </c>
      <c r="V4" s="24">
        <f>final_electricity__16192426303148[[#This Row],[B3 (kWh)]]*'Conversion Technologies'!$I$8</f>
        <v>0</v>
      </c>
      <c r="W4" s="24">
        <f>final_electricity__16192426303148[[#This Row],[Community]]*'Conversion Technologies'!$I$8</f>
        <v>0</v>
      </c>
      <c r="X4" s="24"/>
      <c r="Y4" s="29">
        <v>1</v>
      </c>
      <c r="Z4" s="24">
        <f>B4*tariffs[[#This Row],[Building 1 (buy)]]</f>
        <v>2.4520437761400001E-2</v>
      </c>
      <c r="AA4" s="24">
        <f>C4*tariffs[[#This Row],[Building 2 (buy)]]</f>
        <v>14.287720199999999</v>
      </c>
      <c r="AB4" s="24">
        <f>D4*tariffs[[#This Row],[Building 3 (buy)]]</f>
        <v>14.6780472</v>
      </c>
      <c r="AC4" s="24">
        <f>E4*tariffs[[#This Row],[Building 2 (buy)]]</f>
        <v>28.204381099185618</v>
      </c>
      <c r="AE4" s="29">
        <v>1</v>
      </c>
      <c r="AF4" s="24">
        <f>IF(N4&gt;0,N4*tariffs[[#This Row],[Building 1 (buy)]],0)</f>
        <v>2.4520437761400001E-2</v>
      </c>
      <c r="AG4" s="24">
        <f>IF(O4&gt;0,O4*tariffs[[#This Row],[Building 2 (buy)]],0)</f>
        <v>14.287720199999999</v>
      </c>
      <c r="AH4" s="24">
        <f>IF(P4&gt;0,P4*tariffs[[#This Row],[Building 3 (buy)]],0)</f>
        <v>14.6780472</v>
      </c>
      <c r="AI4" s="24">
        <f>IF(Q4&gt;0,Q4*tariffs[[#This Row],[Building 2 (buy)]],0)</f>
        <v>28.204381099185618</v>
      </c>
      <c r="AK4" s="29">
        <v>1</v>
      </c>
      <c r="AL4" s="35">
        <f>IF(N4&lt;0,-N4*tariffs[[#This Row],[Building 1 (sell)]],0)</f>
        <v>0</v>
      </c>
      <c r="AM4" s="35">
        <f>IF(O4&lt;0,-O4*tariffs[[#This Row],[Building 2 (sell)]],0)</f>
        <v>0</v>
      </c>
      <c r="AN4" s="35">
        <f>IF(P4&lt;0,-P4*tariffs[[#This Row],[Building 3 (sell)]],0)</f>
        <v>0</v>
      </c>
      <c r="AO4" s="35">
        <f>IF(Q4&lt;0,-Q4*tariffs[[#This Row],[Building 2 (sell)]],0)</f>
        <v>0</v>
      </c>
    </row>
    <row r="5" spans="1:41" x14ac:dyDescent="0.35">
      <c r="A5" s="1">
        <v>2</v>
      </c>
      <c r="B5" s="24">
        <f>final_electricity__16192426[[#This Row],[ Building 1 (kWh)]]</f>
        <v>14.936496131695485</v>
      </c>
      <c r="C5" s="24">
        <f>final_electricity__16192426[[#This Row],[Building 2 (kWh)]]</f>
        <v>122.24</v>
      </c>
      <c r="D5" s="24">
        <f>final_electricity__16192426[[#This Row],[Building 3 (kWh)]]</f>
        <v>111.349</v>
      </c>
      <c r="E5" s="24">
        <f t="shared" si="0"/>
        <v>248.52549613169549</v>
      </c>
      <c r="G5" s="29">
        <v>2</v>
      </c>
      <c r="H5" s="32">
        <f>$D$34*(final_electricity__118[[#This Row],[Generation]]*10^-3)</f>
        <v>0</v>
      </c>
      <c r="I5" s="32">
        <f>$D$35*(final_electricity__118[[#This Row],[Generation]]*10^-3)</f>
        <v>0</v>
      </c>
      <c r="J5" s="32">
        <f>$D$36*(final_electricity__118[[#This Row],[Generation]]*10^-3)</f>
        <v>0</v>
      </c>
      <c r="K5" s="32">
        <f>SUM(final_electricity__16192426303148[[#This Row],[ B1 (kWh)]]:final_electricity__16192426303148[[#This Row],[B3 (kWh)]])</f>
        <v>0</v>
      </c>
      <c r="M5" s="29">
        <v>2</v>
      </c>
      <c r="N5" s="24">
        <f t="shared" si="2"/>
        <v>14.936496131695485</v>
      </c>
      <c r="O5" s="24">
        <f t="shared" si="3"/>
        <v>122.24</v>
      </c>
      <c r="P5" s="24">
        <f t="shared" si="4"/>
        <v>111.349</v>
      </c>
      <c r="Q5" s="24">
        <f t="shared" si="5"/>
        <v>248.52549613169549</v>
      </c>
      <c r="R5" s="24"/>
      <c r="S5" s="29">
        <v>2</v>
      </c>
      <c r="T5" s="24">
        <f>final_electricity__16192426303148[[#This Row],[ B1 (kWh)]]*'Conversion Technologies'!$I$8</f>
        <v>0</v>
      </c>
      <c r="U5" s="24">
        <f>final_electricity__16192426303148[[#This Row],[B2 (kWh)]]*'Conversion Technologies'!$I$8</f>
        <v>0</v>
      </c>
      <c r="V5" s="24">
        <f>final_electricity__16192426303148[[#This Row],[B3 (kWh)]]*'Conversion Technologies'!$I$8</f>
        <v>0</v>
      </c>
      <c r="W5" s="24">
        <f>final_electricity__16192426303148[[#This Row],[Community]]*'Conversion Technologies'!$I$8</f>
        <v>0</v>
      </c>
      <c r="X5" s="24"/>
      <c r="Y5" s="29">
        <v>2</v>
      </c>
      <c r="Z5" s="24">
        <f>B5*tariffs[[#This Row],[Building 1 (buy)]]</f>
        <v>1.6280780783548079</v>
      </c>
      <c r="AA5" s="24">
        <f>C5*tariffs[[#This Row],[Building 2 (buy)]]</f>
        <v>11.0016</v>
      </c>
      <c r="AB5" s="24">
        <f>D5*tariffs[[#This Row],[Building 3 (buy)]]</f>
        <v>11.8920732</v>
      </c>
      <c r="AC5" s="24">
        <f>E5*tariffs[[#This Row],[Building 2 (buy)]]</f>
        <v>22.367294651852593</v>
      </c>
      <c r="AE5" s="29">
        <v>2</v>
      </c>
      <c r="AF5" s="24">
        <f>IF(N5&gt;0,N5*tariffs[[#This Row],[Building 1 (buy)]],0)</f>
        <v>1.6280780783548079</v>
      </c>
      <c r="AG5" s="24">
        <f>IF(O5&gt;0,O5*tariffs[[#This Row],[Building 2 (buy)]],0)</f>
        <v>11.0016</v>
      </c>
      <c r="AH5" s="24">
        <f>IF(P5&gt;0,P5*tariffs[[#This Row],[Building 3 (buy)]],0)</f>
        <v>11.8920732</v>
      </c>
      <c r="AI5" s="24">
        <f>IF(Q5&gt;0,Q5*tariffs[[#This Row],[Building 2 (buy)]],0)</f>
        <v>22.367294651852593</v>
      </c>
      <c r="AK5" s="29">
        <v>2</v>
      </c>
      <c r="AL5" s="35">
        <f>IF(N5&lt;0,-N5*tariffs[[#This Row],[Building 1 (sell)]],0)</f>
        <v>0</v>
      </c>
      <c r="AM5" s="35">
        <f>IF(O5&lt;0,-O5*tariffs[[#This Row],[Building 2 (sell)]],0)</f>
        <v>0</v>
      </c>
      <c r="AN5" s="35">
        <f>IF(P5&lt;0,-P5*tariffs[[#This Row],[Building 3 (sell)]],0)</f>
        <v>0</v>
      </c>
      <c r="AO5" s="35">
        <f>IF(Q5&lt;0,-Q5*tariffs[[#This Row],[Building 2 (sell)]],0)</f>
        <v>0</v>
      </c>
    </row>
    <row r="6" spans="1:41" x14ac:dyDescent="0.35">
      <c r="A6" s="1">
        <v>3</v>
      </c>
      <c r="B6" s="24">
        <f>final_electricity__16192426[[#This Row],[ Building 1 (kWh)]]</f>
        <v>0.21985899380000001</v>
      </c>
      <c r="C6" s="24">
        <f>final_electricity__16192426[[#This Row],[Building 2 (kWh)]]</f>
        <v>119.33199999999999</v>
      </c>
      <c r="D6" s="24">
        <f>final_electricity__16192426[[#This Row],[Building 3 (kWh)]]</f>
        <v>108.373</v>
      </c>
      <c r="E6" s="24">
        <f t="shared" si="0"/>
        <v>227.9248589938</v>
      </c>
      <c r="G6" s="29">
        <v>3</v>
      </c>
      <c r="H6" s="32">
        <f>$D$34*(final_electricity__118[[#This Row],[Generation]]*10^-3)</f>
        <v>0</v>
      </c>
      <c r="I6" s="32">
        <f>$D$35*(final_electricity__118[[#This Row],[Generation]]*10^-3)</f>
        <v>0</v>
      </c>
      <c r="J6" s="32">
        <f>$D$36*(final_electricity__118[[#This Row],[Generation]]*10^-3)</f>
        <v>0</v>
      </c>
      <c r="K6" s="32">
        <f>SUM(final_electricity__16192426303148[[#This Row],[ B1 (kWh)]]:final_electricity__16192426303148[[#This Row],[B3 (kWh)]])</f>
        <v>0</v>
      </c>
      <c r="M6" s="29">
        <v>3</v>
      </c>
      <c r="N6" s="24">
        <f t="shared" si="2"/>
        <v>0.21985899380000001</v>
      </c>
      <c r="O6" s="24">
        <f t="shared" si="3"/>
        <v>119.33199999999999</v>
      </c>
      <c r="P6" s="24">
        <f t="shared" si="4"/>
        <v>108.373</v>
      </c>
      <c r="Q6" s="24">
        <f t="shared" si="5"/>
        <v>227.9248589938</v>
      </c>
      <c r="R6" s="24"/>
      <c r="S6" s="29">
        <v>3</v>
      </c>
      <c r="T6" s="24">
        <f>final_electricity__16192426303148[[#This Row],[ B1 (kWh)]]*'Conversion Technologies'!$I$8</f>
        <v>0</v>
      </c>
      <c r="U6" s="24">
        <f>final_electricity__16192426303148[[#This Row],[B2 (kWh)]]*'Conversion Technologies'!$I$8</f>
        <v>0</v>
      </c>
      <c r="V6" s="24">
        <f>final_electricity__16192426303148[[#This Row],[B3 (kWh)]]*'Conversion Technologies'!$I$8</f>
        <v>0</v>
      </c>
      <c r="W6" s="24">
        <f>final_electricity__16192426303148[[#This Row],[Community]]*'Conversion Technologies'!$I$8</f>
        <v>0</v>
      </c>
      <c r="X6" s="24"/>
      <c r="Y6" s="29">
        <v>3</v>
      </c>
      <c r="Z6" s="24">
        <f>B6*tariffs[[#This Row],[Building 1 (buy)]]</f>
        <v>2.3964630324200001E-2</v>
      </c>
      <c r="AA6" s="24">
        <f>C6*tariffs[[#This Row],[Building 2 (buy)]]</f>
        <v>10.739879999999999</v>
      </c>
      <c r="AB6" s="24">
        <f>D6*tariffs[[#This Row],[Building 3 (buy)]]</f>
        <v>11.574236400000002</v>
      </c>
      <c r="AC6" s="24">
        <f>E6*tariffs[[#This Row],[Building 2 (buy)]]</f>
        <v>20.513237309442001</v>
      </c>
      <c r="AE6" s="29">
        <v>3</v>
      </c>
      <c r="AF6" s="24">
        <f>IF(N6&gt;0,N6*tariffs[[#This Row],[Building 1 (buy)]],0)</f>
        <v>2.3964630324200001E-2</v>
      </c>
      <c r="AG6" s="24">
        <f>IF(O6&gt;0,O6*tariffs[[#This Row],[Building 2 (buy)]],0)</f>
        <v>10.739879999999999</v>
      </c>
      <c r="AH6" s="24">
        <f>IF(P6&gt;0,P6*tariffs[[#This Row],[Building 3 (buy)]],0)</f>
        <v>11.574236400000002</v>
      </c>
      <c r="AI6" s="24">
        <f>IF(Q6&gt;0,Q6*tariffs[[#This Row],[Building 2 (buy)]],0)</f>
        <v>20.513237309442001</v>
      </c>
      <c r="AK6" s="29">
        <v>3</v>
      </c>
      <c r="AL6" s="35">
        <f>IF(N6&lt;0,-N6*tariffs[[#This Row],[Building 1 (sell)]],0)</f>
        <v>0</v>
      </c>
      <c r="AM6" s="35">
        <f>IF(O6&lt;0,-O6*tariffs[[#This Row],[Building 2 (sell)]],0)</f>
        <v>0</v>
      </c>
      <c r="AN6" s="35">
        <f>IF(P6&lt;0,-P6*tariffs[[#This Row],[Building 3 (sell)]],0)</f>
        <v>0</v>
      </c>
      <c r="AO6" s="35">
        <f>IF(Q6&lt;0,-Q6*tariffs[[#This Row],[Building 2 (sell)]],0)</f>
        <v>0</v>
      </c>
    </row>
    <row r="7" spans="1:41" x14ac:dyDescent="0.35">
      <c r="A7" s="1">
        <v>4</v>
      </c>
      <c r="B7" s="24">
        <f>final_electricity__16192426[[#This Row],[ Building 1 (kWh)]]</f>
        <v>0.24080941840000006</v>
      </c>
      <c r="C7" s="24">
        <f>final_electricity__16192426[[#This Row],[Building 2 (kWh)]]</f>
        <v>118.456</v>
      </c>
      <c r="D7" s="24">
        <f>final_electricity__16192426[[#This Row],[Building 3 (kWh)]]</f>
        <v>111.221</v>
      </c>
      <c r="E7" s="24">
        <f t="shared" si="0"/>
        <v>229.9178094184</v>
      </c>
      <c r="G7" s="29">
        <v>4</v>
      </c>
      <c r="H7" s="32">
        <f>$D$34*(final_electricity__118[[#This Row],[Generation]]*10^-3)</f>
        <v>0</v>
      </c>
      <c r="I7" s="32">
        <f>$D$35*(final_electricity__118[[#This Row],[Generation]]*10^-3)</f>
        <v>0</v>
      </c>
      <c r="J7" s="32">
        <f>$D$36*(final_electricity__118[[#This Row],[Generation]]*10^-3)</f>
        <v>0</v>
      </c>
      <c r="K7" s="32">
        <f>SUM(final_electricity__16192426303148[[#This Row],[ B1 (kWh)]]:final_electricity__16192426303148[[#This Row],[B3 (kWh)]])</f>
        <v>0</v>
      </c>
      <c r="M7" s="29">
        <v>4</v>
      </c>
      <c r="N7" s="24">
        <f t="shared" si="2"/>
        <v>0.24080941840000006</v>
      </c>
      <c r="O7" s="24">
        <f t="shared" si="3"/>
        <v>118.456</v>
      </c>
      <c r="P7" s="24">
        <f t="shared" si="4"/>
        <v>111.221</v>
      </c>
      <c r="Q7" s="24">
        <f t="shared" si="5"/>
        <v>229.9178094184</v>
      </c>
      <c r="R7" s="24"/>
      <c r="S7" s="29">
        <v>4</v>
      </c>
      <c r="T7" s="24">
        <f>final_electricity__16192426303148[[#This Row],[ B1 (kWh)]]*'Conversion Technologies'!$I$8</f>
        <v>0</v>
      </c>
      <c r="U7" s="24">
        <f>final_electricity__16192426303148[[#This Row],[B2 (kWh)]]*'Conversion Technologies'!$I$8</f>
        <v>0</v>
      </c>
      <c r="V7" s="24">
        <f>final_electricity__16192426303148[[#This Row],[B3 (kWh)]]*'Conversion Technologies'!$I$8</f>
        <v>0</v>
      </c>
      <c r="W7" s="24">
        <f>final_electricity__16192426303148[[#This Row],[Community]]*'Conversion Technologies'!$I$8</f>
        <v>0</v>
      </c>
      <c r="X7" s="24"/>
      <c r="Y7" s="29">
        <v>4</v>
      </c>
      <c r="Z7" s="24">
        <f>B7*tariffs[[#This Row],[Building 1 (buy)]]</f>
        <v>2.6248226605600007E-2</v>
      </c>
      <c r="AA7" s="24">
        <f>C7*tariffs[[#This Row],[Building 2 (buy)]]</f>
        <v>10.66104</v>
      </c>
      <c r="AB7" s="24">
        <f>D7*tariffs[[#This Row],[Building 3 (buy)]]</f>
        <v>11.878402800000002</v>
      </c>
      <c r="AC7" s="24">
        <f>E7*tariffs[[#This Row],[Building 2 (buy)]]</f>
        <v>20.692602847655998</v>
      </c>
      <c r="AE7" s="29">
        <v>4</v>
      </c>
      <c r="AF7" s="24">
        <f>IF(N7&gt;0,N7*tariffs[[#This Row],[Building 1 (buy)]],0)</f>
        <v>2.6248226605600007E-2</v>
      </c>
      <c r="AG7" s="24">
        <f>IF(O7&gt;0,O7*tariffs[[#This Row],[Building 2 (buy)]],0)</f>
        <v>10.66104</v>
      </c>
      <c r="AH7" s="24">
        <f>IF(P7&gt;0,P7*tariffs[[#This Row],[Building 3 (buy)]],0)</f>
        <v>11.878402800000002</v>
      </c>
      <c r="AI7" s="24">
        <f>IF(Q7&gt;0,Q7*tariffs[[#This Row],[Building 2 (buy)]],0)</f>
        <v>20.692602847655998</v>
      </c>
      <c r="AK7" s="29">
        <v>4</v>
      </c>
      <c r="AL7" s="35">
        <f>IF(N7&lt;0,-N7*tariffs[[#This Row],[Building 1 (sell)]],0)</f>
        <v>0</v>
      </c>
      <c r="AM7" s="35">
        <f>IF(O7&lt;0,-O7*tariffs[[#This Row],[Building 2 (sell)]],0)</f>
        <v>0</v>
      </c>
      <c r="AN7" s="35">
        <f>IF(P7&lt;0,-P7*tariffs[[#This Row],[Building 3 (sell)]],0)</f>
        <v>0</v>
      </c>
      <c r="AO7" s="35">
        <f>IF(Q7&lt;0,-Q7*tariffs[[#This Row],[Building 2 (sell)]],0)</f>
        <v>0</v>
      </c>
    </row>
    <row r="8" spans="1:41" x14ac:dyDescent="0.35">
      <c r="A8" s="1">
        <v>5</v>
      </c>
      <c r="B8" s="24">
        <f>final_electricity__16192426[[#This Row],[ Building 1 (kWh)]]</f>
        <v>0.26540972719999995</v>
      </c>
      <c r="C8" s="24">
        <f>final_electricity__16192426[[#This Row],[Building 2 (kWh)]]</f>
        <v>123.203</v>
      </c>
      <c r="D8" s="24">
        <f>final_electricity__16192426[[#This Row],[Building 3 (kWh)]]</f>
        <v>124.458</v>
      </c>
      <c r="E8" s="24">
        <f t="shared" si="0"/>
        <v>247.9264097272</v>
      </c>
      <c r="G8" s="29">
        <v>5</v>
      </c>
      <c r="H8" s="32">
        <f>$D$34*(final_electricity__118[[#This Row],[Generation]]*10^-3)</f>
        <v>0</v>
      </c>
      <c r="I8" s="32">
        <f>$D$35*(final_electricity__118[[#This Row],[Generation]]*10^-3)</f>
        <v>0</v>
      </c>
      <c r="J8" s="32">
        <f>$D$36*(final_electricity__118[[#This Row],[Generation]]*10^-3)</f>
        <v>0</v>
      </c>
      <c r="K8" s="32">
        <f>SUM(final_electricity__16192426303148[[#This Row],[ B1 (kWh)]]:final_electricity__16192426303148[[#This Row],[B3 (kWh)]])</f>
        <v>0</v>
      </c>
      <c r="M8" s="29">
        <v>5</v>
      </c>
      <c r="N8" s="24">
        <f t="shared" si="2"/>
        <v>0.26540972719999995</v>
      </c>
      <c r="O8" s="24">
        <f t="shared" si="3"/>
        <v>123.203</v>
      </c>
      <c r="P8" s="24">
        <f t="shared" si="4"/>
        <v>124.458</v>
      </c>
      <c r="Q8" s="24">
        <f t="shared" si="5"/>
        <v>247.9264097272</v>
      </c>
      <c r="R8" s="24"/>
      <c r="S8" s="29">
        <v>5</v>
      </c>
      <c r="T8" s="24">
        <f>final_electricity__16192426303148[[#This Row],[ B1 (kWh)]]*'Conversion Technologies'!$I$8</f>
        <v>0</v>
      </c>
      <c r="U8" s="24">
        <f>final_electricity__16192426303148[[#This Row],[B2 (kWh)]]*'Conversion Technologies'!$I$8</f>
        <v>0</v>
      </c>
      <c r="V8" s="24">
        <f>final_electricity__16192426303148[[#This Row],[B3 (kWh)]]*'Conversion Technologies'!$I$8</f>
        <v>0</v>
      </c>
      <c r="W8" s="24">
        <f>final_electricity__16192426303148[[#This Row],[Community]]*'Conversion Technologies'!$I$8</f>
        <v>0</v>
      </c>
      <c r="X8" s="24"/>
      <c r="Y8" s="29">
        <v>5</v>
      </c>
      <c r="Z8" s="24">
        <f>B8*tariffs[[#This Row],[Building 1 (buy)]]</f>
        <v>2.8929660264799994E-2</v>
      </c>
      <c r="AA8" s="24">
        <f>C8*tariffs[[#This Row],[Building 2 (buy)]]</f>
        <v>11.08827</v>
      </c>
      <c r="AB8" s="24">
        <f>D8*tariffs[[#This Row],[Building 3 (buy)]]</f>
        <v>13.292114400000001</v>
      </c>
      <c r="AC8" s="24">
        <f>E8*tariffs[[#This Row],[Building 2 (buy)]]</f>
        <v>22.313376875448</v>
      </c>
      <c r="AE8" s="29">
        <v>5</v>
      </c>
      <c r="AF8" s="24">
        <f>IF(N8&gt;0,N8*tariffs[[#This Row],[Building 1 (buy)]],0)</f>
        <v>2.8929660264799994E-2</v>
      </c>
      <c r="AG8" s="24">
        <f>IF(O8&gt;0,O8*tariffs[[#This Row],[Building 2 (buy)]],0)</f>
        <v>11.08827</v>
      </c>
      <c r="AH8" s="24">
        <f>IF(P8&gt;0,P8*tariffs[[#This Row],[Building 3 (buy)]],0)</f>
        <v>13.292114400000001</v>
      </c>
      <c r="AI8" s="24">
        <f>IF(Q8&gt;0,Q8*tariffs[[#This Row],[Building 2 (buy)]],0)</f>
        <v>22.313376875448</v>
      </c>
      <c r="AK8" s="29">
        <v>5</v>
      </c>
      <c r="AL8" s="35">
        <f>IF(N8&lt;0,-N8*tariffs[[#This Row],[Building 1 (sell)]],0)</f>
        <v>0</v>
      </c>
      <c r="AM8" s="35">
        <f>IF(O8&lt;0,-O8*tariffs[[#This Row],[Building 2 (sell)]],0)</f>
        <v>0</v>
      </c>
      <c r="AN8" s="35">
        <f>IF(P8&lt;0,-P8*tariffs[[#This Row],[Building 3 (sell)]],0)</f>
        <v>0</v>
      </c>
      <c r="AO8" s="35">
        <f>IF(Q8&lt;0,-Q8*tariffs[[#This Row],[Building 2 (sell)]],0)</f>
        <v>0</v>
      </c>
    </row>
    <row r="9" spans="1:41" x14ac:dyDescent="0.35">
      <c r="A9" s="1">
        <v>6</v>
      </c>
      <c r="B9" s="24">
        <f>final_electricity__16192426[[#This Row],[ Building 1 (kWh)]]</f>
        <v>0.26401003599999995</v>
      </c>
      <c r="C9" s="24">
        <f>final_electricity__16192426[[#This Row],[Building 2 (kWh)]]</f>
        <v>128.864</v>
      </c>
      <c r="D9" s="24">
        <f>final_electricity__16192426[[#This Row],[Building 3 (kWh)]]</f>
        <v>135.33600000000001</v>
      </c>
      <c r="E9" s="24">
        <f t="shared" si="0"/>
        <v>264.46401003599999</v>
      </c>
      <c r="G9" s="29">
        <v>6</v>
      </c>
      <c r="H9" s="32">
        <f>$D$34*(final_electricity__118[[#This Row],[Generation]]*10^-3)</f>
        <v>0</v>
      </c>
      <c r="I9" s="32">
        <f>$D$35*(final_electricity__118[[#This Row],[Generation]]*10^-3)</f>
        <v>0</v>
      </c>
      <c r="J9" s="32">
        <f>$D$36*(final_electricity__118[[#This Row],[Generation]]*10^-3)</f>
        <v>0</v>
      </c>
      <c r="K9" s="32">
        <f>SUM(final_electricity__16192426303148[[#This Row],[ B1 (kWh)]]:final_electricity__16192426303148[[#This Row],[B3 (kWh)]])</f>
        <v>0</v>
      </c>
      <c r="M9" s="29">
        <v>6</v>
      </c>
      <c r="N9" s="24">
        <f t="shared" si="2"/>
        <v>0.26401003599999995</v>
      </c>
      <c r="O9" s="24">
        <f t="shared" si="3"/>
        <v>128.864</v>
      </c>
      <c r="P9" s="24">
        <f t="shared" si="4"/>
        <v>135.33600000000001</v>
      </c>
      <c r="Q9" s="24">
        <f t="shared" si="5"/>
        <v>264.46401003599999</v>
      </c>
      <c r="R9" s="24"/>
      <c r="S9" s="29">
        <v>6</v>
      </c>
      <c r="T9" s="24">
        <f>final_electricity__16192426303148[[#This Row],[ B1 (kWh)]]*'Conversion Technologies'!$I$8</f>
        <v>0</v>
      </c>
      <c r="U9" s="24">
        <f>final_electricity__16192426303148[[#This Row],[B2 (kWh)]]*'Conversion Technologies'!$I$8</f>
        <v>0</v>
      </c>
      <c r="V9" s="24">
        <f>final_electricity__16192426303148[[#This Row],[B3 (kWh)]]*'Conversion Technologies'!$I$8</f>
        <v>0</v>
      </c>
      <c r="W9" s="24">
        <f>final_electricity__16192426303148[[#This Row],[Community]]*'Conversion Technologies'!$I$8</f>
        <v>0</v>
      </c>
      <c r="X9" s="24"/>
      <c r="Y9" s="29">
        <v>6</v>
      </c>
      <c r="Z9" s="24">
        <f>B9*tariffs[[#This Row],[Building 1 (buy)]]</f>
        <v>2.8777093923999995E-2</v>
      </c>
      <c r="AA9" s="24">
        <f>C9*tariffs[[#This Row],[Building 2 (buy)]]</f>
        <v>14.7807008</v>
      </c>
      <c r="AB9" s="24">
        <f>D9*tariffs[[#This Row],[Building 3 (buy)]]</f>
        <v>17.756083200000003</v>
      </c>
      <c r="AC9" s="24">
        <f>E9*tariffs[[#This Row],[Building 2 (buy)]]</f>
        <v>30.334021951129198</v>
      </c>
      <c r="AE9" s="29">
        <v>6</v>
      </c>
      <c r="AF9" s="24">
        <f>IF(N9&gt;0,N9*tariffs[[#This Row],[Building 1 (buy)]],0)</f>
        <v>2.8777093923999995E-2</v>
      </c>
      <c r="AG9" s="24">
        <f>IF(O9&gt;0,O9*tariffs[[#This Row],[Building 2 (buy)]],0)</f>
        <v>14.7807008</v>
      </c>
      <c r="AH9" s="24">
        <f>IF(P9&gt;0,P9*tariffs[[#This Row],[Building 3 (buy)]],0)</f>
        <v>17.756083200000003</v>
      </c>
      <c r="AI9" s="24">
        <f>IF(Q9&gt;0,Q9*tariffs[[#This Row],[Building 2 (buy)]],0)</f>
        <v>30.334021951129198</v>
      </c>
      <c r="AK9" s="29">
        <v>6</v>
      </c>
      <c r="AL9" s="35">
        <f>IF(N9&lt;0,-N9*tariffs[[#This Row],[Building 1 (sell)]],0)</f>
        <v>0</v>
      </c>
      <c r="AM9" s="35">
        <f>IF(O9&lt;0,-O9*tariffs[[#This Row],[Building 2 (sell)]],0)</f>
        <v>0</v>
      </c>
      <c r="AN9" s="35">
        <f>IF(P9&lt;0,-P9*tariffs[[#This Row],[Building 3 (sell)]],0)</f>
        <v>0</v>
      </c>
      <c r="AO9" s="35">
        <f>IF(Q9&lt;0,-Q9*tariffs[[#This Row],[Building 2 (sell)]],0)</f>
        <v>0</v>
      </c>
    </row>
    <row r="10" spans="1:41" x14ac:dyDescent="0.35">
      <c r="A10" s="1">
        <v>7</v>
      </c>
      <c r="B10" s="24">
        <f>final_electricity__16192426[[#This Row],[ Building 1 (kWh)]]</f>
        <v>0.53633536409999993</v>
      </c>
      <c r="C10" s="24">
        <f>final_electricity__16192426[[#This Row],[Building 2 (kWh)]]</f>
        <v>156.93</v>
      </c>
      <c r="D10" s="24">
        <f>final_electricity__16192426[[#This Row],[Building 3 (kWh)]]</f>
        <v>205.28700000000001</v>
      </c>
      <c r="E10" s="24">
        <f t="shared" si="0"/>
        <v>362.75333536410005</v>
      </c>
      <c r="G10" s="29">
        <v>7</v>
      </c>
      <c r="H10" s="32">
        <f>$D$34*(final_electricity__118[[#This Row],[Generation]]*10^-3)</f>
        <v>0</v>
      </c>
      <c r="I10" s="32">
        <f>$D$35*(final_electricity__118[[#This Row],[Generation]]*10^-3)</f>
        <v>0</v>
      </c>
      <c r="J10" s="32">
        <f>$D$36*(final_electricity__118[[#This Row],[Generation]]*10^-3)</f>
        <v>0</v>
      </c>
      <c r="K10" s="32">
        <f>SUM(final_electricity__16192426303148[[#This Row],[ B1 (kWh)]]:final_electricity__16192426303148[[#This Row],[B3 (kWh)]])</f>
        <v>0</v>
      </c>
      <c r="M10" s="29">
        <v>7</v>
      </c>
      <c r="N10" s="24">
        <f t="shared" si="2"/>
        <v>0.53633536409999993</v>
      </c>
      <c r="O10" s="24">
        <f t="shared" si="3"/>
        <v>156.93</v>
      </c>
      <c r="P10" s="24">
        <f t="shared" si="4"/>
        <v>205.28700000000001</v>
      </c>
      <c r="Q10" s="24">
        <f t="shared" si="5"/>
        <v>362.75333536410005</v>
      </c>
      <c r="R10" s="24"/>
      <c r="S10" s="29">
        <v>7</v>
      </c>
      <c r="T10" s="24">
        <f>final_electricity__16192426303148[[#This Row],[ B1 (kWh)]]*'Conversion Technologies'!$I$8</f>
        <v>0</v>
      </c>
      <c r="U10" s="24">
        <f>final_electricity__16192426303148[[#This Row],[B2 (kWh)]]*'Conversion Technologies'!$I$8</f>
        <v>0</v>
      </c>
      <c r="V10" s="24">
        <f>final_electricity__16192426303148[[#This Row],[B3 (kWh)]]*'Conversion Technologies'!$I$8</f>
        <v>0</v>
      </c>
      <c r="W10" s="24">
        <f>final_electricity__16192426303148[[#This Row],[Community]]*'Conversion Technologies'!$I$8</f>
        <v>0</v>
      </c>
      <c r="X10" s="24"/>
      <c r="Y10" s="29">
        <v>7</v>
      </c>
      <c r="Z10" s="24">
        <f>B10*tariffs[[#This Row],[Building 1 (buy)]]</f>
        <v>0.10490719721795999</v>
      </c>
      <c r="AA10" s="24">
        <f>C10*tariffs[[#This Row],[Building 2 (buy)]]</f>
        <v>24.622317000000002</v>
      </c>
      <c r="AB10" s="24">
        <f>D10*tariffs[[#This Row],[Building 3 (buy)]]</f>
        <v>34.365043800000002</v>
      </c>
      <c r="AC10" s="24">
        <f>E10*tariffs[[#This Row],[Building 2 (buy)]]</f>
        <v>56.915998318627302</v>
      </c>
      <c r="AE10" s="29">
        <v>7</v>
      </c>
      <c r="AF10" s="24">
        <f>IF(N10&gt;0,N10*tariffs[[#This Row],[Building 1 (buy)]],0)</f>
        <v>0.10490719721795999</v>
      </c>
      <c r="AG10" s="24">
        <f>IF(O10&gt;0,O10*tariffs[[#This Row],[Building 2 (buy)]],0)</f>
        <v>24.622317000000002</v>
      </c>
      <c r="AH10" s="24">
        <f>IF(P10&gt;0,P10*tariffs[[#This Row],[Building 3 (buy)]],0)</f>
        <v>34.365043800000002</v>
      </c>
      <c r="AI10" s="24">
        <f>IF(Q10&gt;0,Q10*tariffs[[#This Row],[Building 2 (buy)]],0)</f>
        <v>56.915998318627302</v>
      </c>
      <c r="AK10" s="29">
        <v>7</v>
      </c>
      <c r="AL10" s="35">
        <f>IF(N10&lt;0,-N10*tariffs[[#This Row],[Building 1 (sell)]],0)</f>
        <v>0</v>
      </c>
      <c r="AM10" s="35">
        <f>IF(O10&lt;0,-O10*tariffs[[#This Row],[Building 2 (sell)]],0)</f>
        <v>0</v>
      </c>
      <c r="AN10" s="35">
        <f>IF(P10&lt;0,-P10*tariffs[[#This Row],[Building 3 (sell)]],0)</f>
        <v>0</v>
      </c>
      <c r="AO10" s="35">
        <f>IF(Q10&lt;0,-Q10*tariffs[[#This Row],[Building 2 (sell)]],0)</f>
        <v>0</v>
      </c>
    </row>
    <row r="11" spans="1:41" x14ac:dyDescent="0.35">
      <c r="A11" s="1">
        <v>8</v>
      </c>
      <c r="B11" s="24">
        <f>final_electricity__16192426[[#This Row],[ Building 1 (kWh)]]</f>
        <v>1.1153586078000002</v>
      </c>
      <c r="C11" s="24">
        <f>final_electricity__16192426[[#This Row],[Building 2 (kWh)]]</f>
        <v>213.28899999999999</v>
      </c>
      <c r="D11" s="24">
        <f>final_electricity__16192426[[#This Row],[Building 3 (kWh)]]</f>
        <v>276.12</v>
      </c>
      <c r="E11" s="24">
        <f t="shared" si="0"/>
        <v>490.52435860779997</v>
      </c>
      <c r="G11" s="29">
        <v>8</v>
      </c>
      <c r="H11" s="32">
        <f>$D$34*(final_electricity__118[[#This Row],[Generation]]*10^-3)</f>
        <v>0</v>
      </c>
      <c r="I11" s="32">
        <f>$D$35*(final_electricity__118[[#This Row],[Generation]]*10^-3)</f>
        <v>0</v>
      </c>
      <c r="J11" s="32">
        <f>$D$36*(final_electricity__118[[#This Row],[Generation]]*10^-3)</f>
        <v>0</v>
      </c>
      <c r="K11" s="32">
        <f>SUM(final_electricity__16192426303148[[#This Row],[ B1 (kWh)]]:final_electricity__16192426303148[[#This Row],[B3 (kWh)]])</f>
        <v>0</v>
      </c>
      <c r="M11" s="29">
        <v>8</v>
      </c>
      <c r="N11" s="24">
        <f t="shared" si="2"/>
        <v>1.1153586078000002</v>
      </c>
      <c r="O11" s="24">
        <f t="shared" si="3"/>
        <v>213.28899999999999</v>
      </c>
      <c r="P11" s="24">
        <f t="shared" si="4"/>
        <v>276.12</v>
      </c>
      <c r="Q11" s="24">
        <f t="shared" si="5"/>
        <v>490.52435860779997</v>
      </c>
      <c r="R11" s="24"/>
      <c r="S11" s="29">
        <v>8</v>
      </c>
      <c r="T11" s="24">
        <f>final_electricity__16192426303148[[#This Row],[ B1 (kWh)]]*'Conversion Technologies'!$I$8</f>
        <v>0</v>
      </c>
      <c r="U11" s="24">
        <f>final_electricity__16192426303148[[#This Row],[B2 (kWh)]]*'Conversion Technologies'!$I$8</f>
        <v>0</v>
      </c>
      <c r="V11" s="24">
        <f>final_electricity__16192426303148[[#This Row],[B3 (kWh)]]*'Conversion Technologies'!$I$8</f>
        <v>0</v>
      </c>
      <c r="W11" s="24">
        <f>final_electricity__16192426303148[[#This Row],[Community]]*'Conversion Technologies'!$I$8</f>
        <v>0</v>
      </c>
      <c r="X11" s="24"/>
      <c r="Y11" s="29">
        <v>8</v>
      </c>
      <c r="Z11" s="24">
        <f>B11*tariffs[[#This Row],[Building 1 (buy)]]</f>
        <v>0.21816414368568002</v>
      </c>
      <c r="AA11" s="24">
        <f>C11*tariffs[[#This Row],[Building 2 (buy)]]</f>
        <v>33.4650441</v>
      </c>
      <c r="AB11" s="24">
        <f>D11*tariffs[[#This Row],[Building 3 (buy)]]</f>
        <v>46.222487999999998</v>
      </c>
      <c r="AC11" s="24">
        <f>E11*tariffs[[#This Row],[Building 2 (buy)]]</f>
        <v>76.963271865563826</v>
      </c>
      <c r="AE11" s="29">
        <v>8</v>
      </c>
      <c r="AF11" s="24">
        <f>IF(N11&gt;0,N11*tariffs[[#This Row],[Building 1 (buy)]],0)</f>
        <v>0.21816414368568002</v>
      </c>
      <c r="AG11" s="24">
        <f>IF(O11&gt;0,O11*tariffs[[#This Row],[Building 2 (buy)]],0)</f>
        <v>33.4650441</v>
      </c>
      <c r="AH11" s="24">
        <f>IF(P11&gt;0,P11*tariffs[[#This Row],[Building 3 (buy)]],0)</f>
        <v>46.222487999999998</v>
      </c>
      <c r="AI11" s="24">
        <f>IF(Q11&gt;0,Q11*tariffs[[#This Row],[Building 2 (buy)]],0)</f>
        <v>76.963271865563826</v>
      </c>
      <c r="AK11" s="29">
        <v>8</v>
      </c>
      <c r="AL11" s="35">
        <f>IF(N11&lt;0,-N11*tariffs[[#This Row],[Building 1 (sell)]],0)</f>
        <v>0</v>
      </c>
      <c r="AM11" s="35">
        <f>IF(O11&lt;0,-O11*tariffs[[#This Row],[Building 2 (sell)]],0)</f>
        <v>0</v>
      </c>
      <c r="AN11" s="35">
        <f>IF(P11&lt;0,-P11*tariffs[[#This Row],[Building 3 (sell)]],0)</f>
        <v>0</v>
      </c>
      <c r="AO11" s="35">
        <f>IF(Q11&lt;0,-Q11*tariffs[[#This Row],[Building 2 (sell)]],0)</f>
        <v>0</v>
      </c>
    </row>
    <row r="12" spans="1:41" x14ac:dyDescent="0.35">
      <c r="A12" s="1">
        <v>9</v>
      </c>
      <c r="B12" s="24">
        <f>final_electricity__16192426[[#This Row],[ Building 1 (kWh)]]</f>
        <v>0.17599999999999999</v>
      </c>
      <c r="C12" s="24">
        <f>final_electricity__16192426[[#This Row],[Building 2 (kWh)]]</f>
        <v>264.62</v>
      </c>
      <c r="D12" s="24">
        <f>final_electricity__16192426[[#This Row],[Building 3 (kWh)]]</f>
        <v>327.05939999999998</v>
      </c>
      <c r="E12" s="24">
        <f t="shared" si="0"/>
        <v>591.85539999999992</v>
      </c>
      <c r="G12" s="29">
        <v>9</v>
      </c>
      <c r="H12" s="32">
        <f>$D$34*(final_electricity__118[[#This Row],[Generation]]*10^-3)</f>
        <v>0.30426000000000003</v>
      </c>
      <c r="I12" s="32">
        <f>$D$35*(final_electricity__118[[#This Row],[Generation]]*10^-3)</f>
        <v>95.648280000000014</v>
      </c>
      <c r="J12" s="32">
        <f>$D$36*(final_electricity__118[[#This Row],[Generation]]*10^-3)</f>
        <v>96.118500000000012</v>
      </c>
      <c r="K12" s="32">
        <f>SUM(final_electricity__16192426303148[[#This Row],[ B1 (kWh)]]:final_electricity__16192426303148[[#This Row],[B3 (kWh)]])</f>
        <v>192.07104000000004</v>
      </c>
      <c r="M12" s="29">
        <v>9</v>
      </c>
      <c r="N12" s="24">
        <f t="shared" si="2"/>
        <v>-0.12826000000000004</v>
      </c>
      <c r="O12" s="24">
        <f t="shared" si="3"/>
        <v>168.97172</v>
      </c>
      <c r="P12" s="24">
        <f t="shared" si="4"/>
        <v>230.94089999999997</v>
      </c>
      <c r="Q12" s="24">
        <f t="shared" si="5"/>
        <v>399.78435999999988</v>
      </c>
      <c r="R12" s="24"/>
      <c r="S12" s="29">
        <v>9</v>
      </c>
      <c r="T12" s="24">
        <f>final_electricity__16192426303148[[#This Row],[ B1 (kWh)]]*'Conversion Technologies'!$I$8</f>
        <v>1.0067426470588236E-2</v>
      </c>
      <c r="U12" s="24">
        <f>final_electricity__16192426303148[[#This Row],[B2 (kWh)]]*'Conversion Technologies'!$I$8</f>
        <v>3.1648327941176477</v>
      </c>
      <c r="V12" s="24">
        <f>final_electricity__16192426303148[[#This Row],[B3 (kWh)]]*'Conversion Technologies'!$I$8</f>
        <v>3.1803915441176476</v>
      </c>
      <c r="W12" s="24">
        <f>final_electricity__16192426303148[[#This Row],[Community]]*'Conversion Technologies'!$I$8</f>
        <v>6.3552917647058838</v>
      </c>
      <c r="X12" s="24"/>
      <c r="Y12" s="29">
        <v>9</v>
      </c>
      <c r="Z12" s="24">
        <f>B12*tariffs[[#This Row],[Building 1 (buy)]]</f>
        <v>3.4425600000000001E-2</v>
      </c>
      <c r="AA12" s="24">
        <f>C12*tariffs[[#This Row],[Building 2 (buy)]]</f>
        <v>46.467272000000001</v>
      </c>
      <c r="AB12" s="24">
        <f>D12*tariffs[[#This Row],[Building 3 (buy)]]</f>
        <v>57.398924699999995</v>
      </c>
      <c r="AC12" s="24">
        <f>E12*tariffs[[#This Row],[Building 2 (buy)]]</f>
        <v>103.92980823999999</v>
      </c>
      <c r="AE12" s="29">
        <v>9</v>
      </c>
      <c r="AF12" s="24">
        <f>IF(N12&gt;0,N12*tariffs[[#This Row],[Building 1 (buy)]],0)</f>
        <v>0</v>
      </c>
      <c r="AG12" s="24">
        <f>IF(O12&gt;0,O12*tariffs[[#This Row],[Building 2 (buy)]],0)</f>
        <v>29.671434032000001</v>
      </c>
      <c r="AH12" s="24">
        <f>IF(P12&gt;0,P12*tariffs[[#This Row],[Building 3 (buy)]],0)</f>
        <v>40.530127949999994</v>
      </c>
      <c r="AI12" s="24">
        <f>IF(Q12&gt;0,Q12*tariffs[[#This Row],[Building 2 (buy)]],0)</f>
        <v>70.202133615999983</v>
      </c>
      <c r="AK12" s="29">
        <v>9</v>
      </c>
      <c r="AL12" s="35">
        <f>IF(N12&lt;0,-N12*tariffs[[#This Row],[Building 1 (sell)]],0)</f>
        <v>8.4651600000000028E-3</v>
      </c>
      <c r="AM12" s="35">
        <f>IF(O12&lt;0,-O12*tariffs[[#This Row],[Building 2 (sell)]],0)</f>
        <v>0</v>
      </c>
      <c r="AN12" s="35">
        <f>IF(P12&lt;0,-P12*tariffs[[#This Row],[Building 3 (sell)]],0)</f>
        <v>0</v>
      </c>
      <c r="AO12" s="35">
        <f>IF(Q12&lt;0,-Q12*tariffs[[#This Row],[Building 2 (sell)]],0)</f>
        <v>0</v>
      </c>
    </row>
    <row r="13" spans="1:41" x14ac:dyDescent="0.35">
      <c r="A13" s="1">
        <v>10</v>
      </c>
      <c r="B13" s="24">
        <f>final_electricity__16192426[[#This Row],[ Building 1 (kWh)]]</f>
        <v>0.318</v>
      </c>
      <c r="C13" s="24">
        <f>final_electricity__16192426[[#This Row],[Building 2 (kWh)]]</f>
        <v>278.54599999999999</v>
      </c>
      <c r="D13" s="24">
        <f>final_electricity__16192426[[#This Row],[Building 3 (kWh)]]</f>
        <v>357.839</v>
      </c>
      <c r="E13" s="24">
        <f t="shared" si="0"/>
        <v>636.70299999999997</v>
      </c>
      <c r="G13" s="29">
        <v>10</v>
      </c>
      <c r="H13" s="32">
        <f>$D$34*(final_electricity__118[[#This Row],[Generation]]*10^-3)</f>
        <v>0.60236000000000001</v>
      </c>
      <c r="I13" s="32">
        <f>$D$35*(final_electricity__118[[#This Row],[Generation]]*10^-3)</f>
        <v>189.36008000000001</v>
      </c>
      <c r="J13" s="32">
        <f>$D$36*(final_electricity__118[[#This Row],[Generation]]*10^-3)</f>
        <v>190.291</v>
      </c>
      <c r="K13" s="32">
        <f>SUM(final_electricity__16192426303148[[#This Row],[ B1 (kWh)]]:final_electricity__16192426303148[[#This Row],[B3 (kWh)]])</f>
        <v>380.25344000000001</v>
      </c>
      <c r="M13" s="29">
        <v>10</v>
      </c>
      <c r="N13" s="24">
        <f t="shared" si="2"/>
        <v>-0.28436</v>
      </c>
      <c r="O13" s="24">
        <f t="shared" si="3"/>
        <v>89.185919999999982</v>
      </c>
      <c r="P13" s="24">
        <f t="shared" si="4"/>
        <v>167.548</v>
      </c>
      <c r="Q13" s="24">
        <f t="shared" si="5"/>
        <v>256.44955999999996</v>
      </c>
      <c r="R13" s="24"/>
      <c r="S13" s="29">
        <v>10</v>
      </c>
      <c r="T13" s="24">
        <f>final_electricity__16192426303148[[#This Row],[ B1 (kWh)]]*'Conversion Technologies'!$I$8</f>
        <v>1.9931029411764705E-2</v>
      </c>
      <c r="U13" s="24">
        <f>final_electricity__16192426303148[[#This Row],[B2 (kWh)]]*'Conversion Technologies'!$I$8</f>
        <v>6.2655908823529414</v>
      </c>
      <c r="V13" s="24">
        <f>final_electricity__16192426303148[[#This Row],[B3 (kWh)]]*'Conversion Technologies'!$I$8</f>
        <v>6.2963933823529414</v>
      </c>
      <c r="W13" s="24">
        <f>final_electricity__16192426303148[[#This Row],[Community]]*'Conversion Technologies'!$I$8</f>
        <v>12.581915294117648</v>
      </c>
      <c r="X13" s="24"/>
      <c r="Y13" s="29">
        <v>10</v>
      </c>
      <c r="Z13" s="24">
        <f>B13*tariffs[[#This Row],[Building 1 (buy)]]</f>
        <v>6.2200800000000001E-2</v>
      </c>
      <c r="AA13" s="24">
        <f>C13*tariffs[[#This Row],[Building 2 (buy)]]</f>
        <v>48.912677600000002</v>
      </c>
      <c r="AB13" s="24">
        <f>D13*tariffs[[#This Row],[Building 3 (buy)]]</f>
        <v>62.800744499999993</v>
      </c>
      <c r="AC13" s="24">
        <f>E13*tariffs[[#This Row],[Building 2 (buy)]]</f>
        <v>111.8050468</v>
      </c>
      <c r="AE13" s="29">
        <v>10</v>
      </c>
      <c r="AF13" s="24">
        <f>IF(N13&gt;0,N13*tariffs[[#This Row],[Building 1 (buy)]],0)</f>
        <v>0</v>
      </c>
      <c r="AG13" s="24">
        <f>IF(O13&gt;0,O13*tariffs[[#This Row],[Building 2 (buy)]],0)</f>
        <v>15.661047551999998</v>
      </c>
      <c r="AH13" s="24">
        <f>IF(P13&gt;0,P13*tariffs[[#This Row],[Building 3 (buy)]],0)</f>
        <v>29.404674</v>
      </c>
      <c r="AI13" s="24">
        <f>IF(Q13&gt;0,Q13*tariffs[[#This Row],[Building 2 (buy)]],0)</f>
        <v>45.032542735999996</v>
      </c>
      <c r="AK13" s="29">
        <v>10</v>
      </c>
      <c r="AL13" s="35">
        <f>IF(N13&lt;0,-N13*tariffs[[#This Row],[Building 1 (sell)]],0)</f>
        <v>1.8767760000000001E-2</v>
      </c>
      <c r="AM13" s="35">
        <f>IF(O13&lt;0,-O13*tariffs[[#This Row],[Building 2 (sell)]],0)</f>
        <v>0</v>
      </c>
      <c r="AN13" s="35">
        <f>IF(P13&lt;0,-P13*tariffs[[#This Row],[Building 3 (sell)]],0)</f>
        <v>0</v>
      </c>
      <c r="AO13" s="35">
        <f>IF(Q13&lt;0,-Q13*tariffs[[#This Row],[Building 2 (sell)]],0)</f>
        <v>0</v>
      </c>
    </row>
    <row r="14" spans="1:41" x14ac:dyDescent="0.35">
      <c r="A14" s="1">
        <v>11</v>
      </c>
      <c r="B14" s="24">
        <f>final_electricity__16192426[[#This Row],[ Building 1 (kWh)]]</f>
        <v>0.122</v>
      </c>
      <c r="C14" s="24">
        <f>final_electricity__16192426[[#This Row],[Building 2 (kWh)]]</f>
        <v>290.54700000000003</v>
      </c>
      <c r="D14" s="24">
        <f>final_electricity__16192426[[#This Row],[Building 3 (kWh)]]</f>
        <v>393.238</v>
      </c>
      <c r="E14" s="24">
        <f t="shared" si="0"/>
        <v>683.90700000000004</v>
      </c>
      <c r="G14" s="29">
        <v>11</v>
      </c>
      <c r="H14" s="32">
        <f>$D$34*(final_electricity__118[[#This Row],[Generation]]*10^-3)</f>
        <v>0.66605000000000003</v>
      </c>
      <c r="I14" s="32">
        <f>$D$35*(final_electricity__118[[#This Row],[Generation]]*10^-3)</f>
        <v>209.38190000000003</v>
      </c>
      <c r="J14" s="32">
        <f>$D$36*(final_electricity__118[[#This Row],[Generation]]*10^-3)</f>
        <v>210.41125000000002</v>
      </c>
      <c r="K14" s="32">
        <f>SUM(final_electricity__16192426303148[[#This Row],[ B1 (kWh)]]:final_electricity__16192426303148[[#This Row],[B3 (kWh)]])</f>
        <v>420.45920000000007</v>
      </c>
      <c r="M14" s="29">
        <v>11</v>
      </c>
      <c r="N14" s="24">
        <f t="shared" si="2"/>
        <v>-0.54405000000000003</v>
      </c>
      <c r="O14" s="24">
        <f t="shared" si="3"/>
        <v>81.165099999999995</v>
      </c>
      <c r="P14" s="24">
        <f t="shared" si="4"/>
        <v>182.82674999999998</v>
      </c>
      <c r="Q14" s="24">
        <f t="shared" si="5"/>
        <v>263.44779999999997</v>
      </c>
      <c r="R14" s="24"/>
      <c r="S14" s="29">
        <v>11</v>
      </c>
      <c r="T14" s="24">
        <f>final_electricity__16192426303148[[#This Row],[ B1 (kWh)]]*'Conversion Technologies'!$I$8</f>
        <v>2.2038419117647059E-2</v>
      </c>
      <c r="U14" s="24">
        <f>final_electricity__16192426303148[[#This Row],[B2 (kWh)]]*'Conversion Technologies'!$I$8</f>
        <v>6.9280775735294124</v>
      </c>
      <c r="V14" s="24">
        <f>final_electricity__16192426303148[[#This Row],[B3 (kWh)]]*'Conversion Technologies'!$I$8</f>
        <v>6.9621369485294125</v>
      </c>
      <c r="W14" s="24">
        <f>final_electricity__16192426303148[[#This Row],[Community]]*'Conversion Technologies'!$I$8</f>
        <v>13.912252941176472</v>
      </c>
      <c r="X14" s="24"/>
      <c r="Y14" s="29">
        <v>11</v>
      </c>
      <c r="Z14" s="24">
        <f>B14*tariffs[[#This Row],[Building 1 (buy)]]</f>
        <v>2.3863199999999998E-2</v>
      </c>
      <c r="AA14" s="24">
        <f>C14*tariffs[[#This Row],[Building 2 (buy)]]</f>
        <v>51.020053200000007</v>
      </c>
      <c r="AB14" s="24">
        <f>D14*tariffs[[#This Row],[Building 3 (buy)]]</f>
        <v>69.013268999999994</v>
      </c>
      <c r="AC14" s="24">
        <f>E14*tariffs[[#This Row],[Building 2 (buy)]]</f>
        <v>120.09406920000001</v>
      </c>
      <c r="AE14" s="29">
        <v>11</v>
      </c>
      <c r="AF14" s="24">
        <f>IF(N14&gt;0,N14*tariffs[[#This Row],[Building 1 (buy)]],0)</f>
        <v>0</v>
      </c>
      <c r="AG14" s="24">
        <f>IF(O14&gt;0,O14*tariffs[[#This Row],[Building 2 (buy)]],0)</f>
        <v>14.252591559999999</v>
      </c>
      <c r="AH14" s="24">
        <f>IF(P14&gt;0,P14*tariffs[[#This Row],[Building 3 (buy)]],0)</f>
        <v>32.086094624999994</v>
      </c>
      <c r="AI14" s="24">
        <f>IF(Q14&gt;0,Q14*tariffs[[#This Row],[Building 2 (buy)]],0)</f>
        <v>46.261433679999996</v>
      </c>
      <c r="AK14" s="29">
        <v>11</v>
      </c>
      <c r="AL14" s="35">
        <f>IF(N14&lt;0,-N14*tariffs[[#This Row],[Building 1 (sell)]],0)</f>
        <v>3.5907300000000003E-2</v>
      </c>
      <c r="AM14" s="35">
        <f>IF(O14&lt;0,-O14*tariffs[[#This Row],[Building 2 (sell)]],0)</f>
        <v>0</v>
      </c>
      <c r="AN14" s="35">
        <f>IF(P14&lt;0,-P14*tariffs[[#This Row],[Building 3 (sell)]],0)</f>
        <v>0</v>
      </c>
      <c r="AO14" s="35">
        <f>IF(Q14&lt;0,-Q14*tariffs[[#This Row],[Building 2 (sell)]],0)</f>
        <v>0</v>
      </c>
    </row>
    <row r="15" spans="1:41" x14ac:dyDescent="0.35">
      <c r="A15" s="1">
        <v>12</v>
      </c>
      <c r="B15" s="24">
        <f>final_electricity__16192426[[#This Row],[ Building 1 (kWh)]]</f>
        <v>0.10100000000000001</v>
      </c>
      <c r="C15" s="24">
        <f>final_electricity__16192426[[#This Row],[Building 2 (kWh)]]</f>
        <v>278.565</v>
      </c>
      <c r="D15" s="24">
        <f>final_electricity__16192426[[#This Row],[Building 3 (kWh)]]</f>
        <v>400.87400000000002</v>
      </c>
      <c r="E15" s="24">
        <f t="shared" si="0"/>
        <v>679.54</v>
      </c>
      <c r="G15" s="29">
        <v>12</v>
      </c>
      <c r="H15" s="32">
        <f>$D$34*(final_electricity__118[[#This Row],[Generation]]*10^-3)</f>
        <v>1.0346600000000001</v>
      </c>
      <c r="I15" s="32">
        <f>$D$35*(final_electricity__118[[#This Row],[Generation]]*10^-3)</f>
        <v>325.25948</v>
      </c>
      <c r="J15" s="32">
        <f>$D$36*(final_electricity__118[[#This Row],[Generation]]*10^-3)</f>
        <v>326.85849999999999</v>
      </c>
      <c r="K15" s="32">
        <f>SUM(final_electricity__16192426303148[[#This Row],[ B1 (kWh)]]:final_electricity__16192426303148[[#This Row],[B3 (kWh)]])</f>
        <v>653.15264000000002</v>
      </c>
      <c r="M15" s="29">
        <v>12</v>
      </c>
      <c r="N15" s="24">
        <f t="shared" si="2"/>
        <v>-0.93366000000000016</v>
      </c>
      <c r="O15" s="24">
        <f t="shared" si="3"/>
        <v>-46.694479999999999</v>
      </c>
      <c r="P15" s="24">
        <f t="shared" si="4"/>
        <v>74.015500000000031</v>
      </c>
      <c r="Q15" s="24">
        <f t="shared" si="5"/>
        <v>26.387359999999944</v>
      </c>
      <c r="R15" s="24"/>
      <c r="S15" s="29">
        <v>12</v>
      </c>
      <c r="T15" s="24">
        <f>final_electricity__16192426303148[[#This Row],[ B1 (kWh)]]*'Conversion Technologies'!$I$8</f>
        <v>3.4235073529411769E-2</v>
      </c>
      <c r="U15" s="24">
        <f>final_electricity__16192426303148[[#This Row],[B2 (kWh)]]*'Conversion Technologies'!$I$8</f>
        <v>10.762262205882353</v>
      </c>
      <c r="V15" s="24">
        <f>final_electricity__16192426303148[[#This Row],[B3 (kWh)]]*'Conversion Technologies'!$I$8</f>
        <v>10.815170955882353</v>
      </c>
      <c r="W15" s="24">
        <f>final_electricity__16192426303148[[#This Row],[Community]]*'Conversion Technologies'!$I$8</f>
        <v>21.611668235294118</v>
      </c>
      <c r="X15" s="24"/>
      <c r="Y15" s="29">
        <v>12</v>
      </c>
      <c r="Z15" s="24">
        <f>B15*tariffs[[#This Row],[Building 1 (buy)]]</f>
        <v>1.9755600000000002E-2</v>
      </c>
      <c r="AA15" s="24">
        <f>C15*tariffs[[#This Row],[Building 2 (buy)]]</f>
        <v>43.7068485</v>
      </c>
      <c r="AB15" s="24">
        <f>D15*tariffs[[#This Row],[Building 3 (buy)]]</f>
        <v>67.106307600000008</v>
      </c>
      <c r="AC15" s="24">
        <f>E15*tariffs[[#This Row],[Building 2 (buy)]]</f>
        <v>106.619826</v>
      </c>
      <c r="AE15" s="29">
        <v>12</v>
      </c>
      <c r="AF15" s="24">
        <f>IF(N15&gt;0,N15*tariffs[[#This Row],[Building 1 (buy)]],0)</f>
        <v>0</v>
      </c>
      <c r="AG15" s="24">
        <f>IF(O15&gt;0,O15*tariffs[[#This Row],[Building 2 (buy)]],0)</f>
        <v>0</v>
      </c>
      <c r="AH15" s="24">
        <f>IF(P15&gt;0,P15*tariffs[[#This Row],[Building 3 (buy)]],0)</f>
        <v>12.390194700000004</v>
      </c>
      <c r="AI15" s="24">
        <f>IF(Q15&gt;0,Q15*tariffs[[#This Row],[Building 2 (buy)]],0)</f>
        <v>4.1401767839999915</v>
      </c>
      <c r="AK15" s="29">
        <v>12</v>
      </c>
      <c r="AL15" s="35">
        <f>IF(N15&lt;0,-N15*tariffs[[#This Row],[Building 1 (sell)]],0)</f>
        <v>6.1621560000000013E-2</v>
      </c>
      <c r="AM15" s="35">
        <f>IF(O15&lt;0,-O15*tariffs[[#This Row],[Building 2 (sell)]],0)</f>
        <v>1.0366174560000001</v>
      </c>
      <c r="AN15" s="35">
        <f>IF(P15&lt;0,-P15*tariffs[[#This Row],[Building 3 (sell)]],0)</f>
        <v>0</v>
      </c>
      <c r="AO15" s="35">
        <f>IF(Q15&lt;0,-Q15*tariffs[[#This Row],[Building 2 (sell)]],0)</f>
        <v>0</v>
      </c>
    </row>
    <row r="16" spans="1:41" x14ac:dyDescent="0.35">
      <c r="A16" s="1">
        <v>13</v>
      </c>
      <c r="B16" s="24">
        <f>final_electricity__16192426[[#This Row],[ Building 1 (kWh)]]</f>
        <v>0.106</v>
      </c>
      <c r="C16" s="24">
        <f>final_electricity__16192426[[#This Row],[Building 2 (kWh)]]</f>
        <v>298.416</v>
      </c>
      <c r="D16" s="24">
        <f>final_electricity__16192426[[#This Row],[Building 3 (kWh)]]</f>
        <v>372.48899999999998</v>
      </c>
      <c r="E16" s="24">
        <f t="shared" si="0"/>
        <v>671.01099999999997</v>
      </c>
      <c r="G16" s="29">
        <v>13</v>
      </c>
      <c r="H16" s="32">
        <f>$D$34*(final_electricity__118[[#This Row],[Generation]]*10^-3)</f>
        <v>1.3020149999999999</v>
      </c>
      <c r="I16" s="32">
        <f>$D$35*(final_electricity__118[[#This Row],[Generation]]*10^-3)</f>
        <v>409.30617000000001</v>
      </c>
      <c r="J16" s="32">
        <f>$D$36*(final_electricity__118[[#This Row],[Generation]]*10^-3)</f>
        <v>411.318375</v>
      </c>
      <c r="K16" s="32">
        <f>SUM(final_electricity__16192426303148[[#This Row],[ B1 (kWh)]]:final_electricity__16192426303148[[#This Row],[B3 (kWh)]])</f>
        <v>821.92655999999999</v>
      </c>
      <c r="M16" s="29">
        <v>13</v>
      </c>
      <c r="N16" s="24">
        <f t="shared" si="2"/>
        <v>-1.1960149999999998</v>
      </c>
      <c r="O16" s="24">
        <f t="shared" si="3"/>
        <v>-110.89017000000001</v>
      </c>
      <c r="P16" s="24">
        <f t="shared" si="4"/>
        <v>-38.829375000000027</v>
      </c>
      <c r="Q16" s="24">
        <f t="shared" si="5"/>
        <v>-150.91556000000003</v>
      </c>
      <c r="R16" s="24"/>
      <c r="S16" s="29">
        <v>13</v>
      </c>
      <c r="T16" s="24">
        <f>final_electricity__16192426303148[[#This Row],[ B1 (kWh)]]*'Conversion Technologies'!$I$8</f>
        <v>4.3081378676470584E-2</v>
      </c>
      <c r="U16" s="24">
        <f>final_electricity__16192426303148[[#This Row],[B2 (kWh)]]*'Conversion Technologies'!$I$8</f>
        <v>13.543218860294118</v>
      </c>
      <c r="V16" s="24">
        <f>final_electricity__16192426303148[[#This Row],[B3 (kWh)]]*'Conversion Technologies'!$I$8</f>
        <v>13.609799172794117</v>
      </c>
      <c r="W16" s="24">
        <f>final_electricity__16192426303148[[#This Row],[Community]]*'Conversion Technologies'!$I$8</f>
        <v>27.196099411764706</v>
      </c>
      <c r="X16" s="24"/>
      <c r="Y16" s="29">
        <v>13</v>
      </c>
      <c r="Z16" s="24">
        <f>B16*tariffs[[#This Row],[Building 1 (buy)]]</f>
        <v>2.0733599999999998E-2</v>
      </c>
      <c r="AA16" s="24">
        <f>C16*tariffs[[#This Row],[Building 2 (buy)]]</f>
        <v>46.821470400000003</v>
      </c>
      <c r="AB16" s="24">
        <f>D16*tariffs[[#This Row],[Building 3 (buy)]]</f>
        <v>62.354658599999993</v>
      </c>
      <c r="AC16" s="24">
        <f>E16*tariffs[[#This Row],[Building 2 (buy)]]</f>
        <v>105.28162590000001</v>
      </c>
      <c r="AE16" s="29">
        <v>13</v>
      </c>
      <c r="AF16" s="24">
        <f>IF(N16&gt;0,N16*tariffs[[#This Row],[Building 1 (buy)]],0)</f>
        <v>0</v>
      </c>
      <c r="AG16" s="24">
        <f>IF(O16&gt;0,O16*tariffs[[#This Row],[Building 2 (buy)]],0)</f>
        <v>0</v>
      </c>
      <c r="AH16" s="24">
        <f>IF(P16&gt;0,P16*tariffs[[#This Row],[Building 3 (buy)]],0)</f>
        <v>0</v>
      </c>
      <c r="AI16" s="24">
        <f>IF(Q16&gt;0,Q16*tariffs[[#This Row],[Building 2 (buy)]],0)</f>
        <v>0</v>
      </c>
      <c r="AK16" s="29">
        <v>13</v>
      </c>
      <c r="AL16" s="35">
        <f>IF(N16&lt;0,-N16*tariffs[[#This Row],[Building 1 (sell)]],0)</f>
        <v>7.8936989999999999E-2</v>
      </c>
      <c r="AM16" s="35">
        <f>IF(O16&lt;0,-O16*tariffs[[#This Row],[Building 2 (sell)]],0)</f>
        <v>2.4617617740000002</v>
      </c>
      <c r="AN16" s="35">
        <f>IF(P16&lt;0,-P16*tariffs[[#This Row],[Building 3 (sell)]],0)</f>
        <v>0.86201212500000068</v>
      </c>
      <c r="AO16" s="35">
        <f>IF(Q16&lt;0,-Q16*tariffs[[#This Row],[Building 2 (sell)]],0)</f>
        <v>3.3503254320000009</v>
      </c>
    </row>
    <row r="17" spans="1:41" x14ac:dyDescent="0.35">
      <c r="A17" s="1">
        <v>14</v>
      </c>
      <c r="B17" s="24">
        <f>final_electricity__16192426[[#This Row],[ Building 1 (kWh)]]</f>
        <v>0.17499999999999999</v>
      </c>
      <c r="C17" s="24">
        <f>final_electricity__16192426[[#This Row],[Building 2 (kWh)]]</f>
        <v>322.815</v>
      </c>
      <c r="D17" s="24">
        <f>final_electricity__16192426[[#This Row],[Building 3 (kWh)]]</f>
        <v>357.63299999999998</v>
      </c>
      <c r="E17" s="24">
        <f t="shared" si="0"/>
        <v>680.62300000000005</v>
      </c>
      <c r="G17" s="29">
        <v>14</v>
      </c>
      <c r="H17" s="32">
        <f>$D$34*(final_electricity__118[[#This Row],[Generation]]*10^-3)</f>
        <v>1.0800350000000001</v>
      </c>
      <c r="I17" s="32">
        <f>$D$35*(final_electricity__118[[#This Row],[Generation]]*10^-3)</f>
        <v>339.52373000000006</v>
      </c>
      <c r="J17" s="32">
        <f>$D$36*(final_electricity__118[[#This Row],[Generation]]*10^-3)</f>
        <v>341.19287500000002</v>
      </c>
      <c r="K17" s="32">
        <f>SUM(final_electricity__16192426303148[[#This Row],[ B1 (kWh)]]:final_electricity__16192426303148[[#This Row],[B3 (kWh)]])</f>
        <v>681.79664000000002</v>
      </c>
      <c r="M17" s="29">
        <v>14</v>
      </c>
      <c r="N17" s="24">
        <f t="shared" si="2"/>
        <v>-0.90503500000000003</v>
      </c>
      <c r="O17" s="24">
        <f t="shared" si="3"/>
        <v>-16.70873000000006</v>
      </c>
      <c r="P17" s="24">
        <f t="shared" si="4"/>
        <v>16.440124999999966</v>
      </c>
      <c r="Q17" s="24">
        <f t="shared" si="5"/>
        <v>-1.1736399999999776</v>
      </c>
      <c r="R17" s="24"/>
      <c r="S17" s="29">
        <v>14</v>
      </c>
      <c r="T17" s="24">
        <f>final_electricity__16192426303148[[#This Row],[ B1 (kWh)]]*'Conversion Technologies'!$I$8</f>
        <v>3.5736452205882355E-2</v>
      </c>
      <c r="U17" s="24">
        <f>final_electricity__16192426303148[[#This Row],[B2 (kWh)]]*'Conversion Technologies'!$I$8</f>
        <v>11.234241066176473</v>
      </c>
      <c r="V17" s="24">
        <f>final_electricity__16192426303148[[#This Row],[B3 (kWh)]]*'Conversion Technologies'!$I$8</f>
        <v>11.289470128676472</v>
      </c>
      <c r="W17" s="24">
        <f>final_electricity__16192426303148[[#This Row],[Community]]*'Conversion Technologies'!$I$8</f>
        <v>22.559447647058825</v>
      </c>
      <c r="X17" s="24"/>
      <c r="Y17" s="29">
        <v>14</v>
      </c>
      <c r="Z17" s="24">
        <f>B17*tariffs[[#This Row],[Building 1 (buy)]]</f>
        <v>3.4229999999999997E-2</v>
      </c>
      <c r="AA17" s="24">
        <f>C17*tariffs[[#This Row],[Building 2 (buy)]]</f>
        <v>50.649673500000006</v>
      </c>
      <c r="AB17" s="24">
        <f>D17*tariffs[[#This Row],[Building 3 (buy)]]</f>
        <v>59.867764199999996</v>
      </c>
      <c r="AC17" s="24">
        <f>E17*tariffs[[#This Row],[Building 2 (buy)]]</f>
        <v>106.78974870000002</v>
      </c>
      <c r="AE17" s="29">
        <v>14</v>
      </c>
      <c r="AF17" s="24">
        <f>IF(N17&gt;0,N17*tariffs[[#This Row],[Building 1 (buy)]],0)</f>
        <v>0</v>
      </c>
      <c r="AG17" s="24">
        <f>IF(O17&gt;0,O17*tariffs[[#This Row],[Building 2 (buy)]],0)</f>
        <v>0</v>
      </c>
      <c r="AH17" s="24">
        <f>IF(P17&gt;0,P17*tariffs[[#This Row],[Building 3 (buy)]],0)</f>
        <v>2.7520769249999941</v>
      </c>
      <c r="AI17" s="24">
        <f>IF(Q17&gt;0,Q17*tariffs[[#This Row],[Building 2 (buy)]],0)</f>
        <v>0</v>
      </c>
      <c r="AK17" s="29">
        <v>14</v>
      </c>
      <c r="AL17" s="35">
        <f>IF(N17&lt;0,-N17*tariffs[[#This Row],[Building 1 (sell)]],0)</f>
        <v>5.9732310000000004E-2</v>
      </c>
      <c r="AM17" s="35">
        <f>IF(O17&lt;0,-O17*tariffs[[#This Row],[Building 2 (sell)]],0)</f>
        <v>0.37761729800000132</v>
      </c>
      <c r="AN17" s="35">
        <f>IF(P17&lt;0,-P17*tariffs[[#This Row],[Building 3 (sell)]],0)</f>
        <v>0</v>
      </c>
      <c r="AO17" s="35">
        <f>IF(Q17&lt;0,-Q17*tariffs[[#This Row],[Building 2 (sell)]],0)</f>
        <v>2.6524263999999492E-2</v>
      </c>
    </row>
    <row r="18" spans="1:41" x14ac:dyDescent="0.35">
      <c r="A18" s="1">
        <v>15</v>
      </c>
      <c r="B18" s="24">
        <f>final_electricity__16192426[[#This Row],[ Building 1 (kWh)]]</f>
        <v>0.23200000000000001</v>
      </c>
      <c r="C18" s="24">
        <f>final_electricity__16192426[[#This Row],[Building 2 (kWh)]]</f>
        <v>325.81900000000002</v>
      </c>
      <c r="D18" s="24">
        <f>final_electricity__16192426[[#This Row],[Building 3 (kWh)]]</f>
        <v>367.19799999999998</v>
      </c>
      <c r="E18" s="24">
        <f t="shared" si="0"/>
        <v>693.24900000000002</v>
      </c>
      <c r="G18" s="29">
        <v>15</v>
      </c>
      <c r="H18" s="32">
        <f>$D$34*(final_electricity__118[[#This Row],[Generation]]*10^-3)</f>
        <v>1.09802</v>
      </c>
      <c r="I18" s="32">
        <f>$D$35*(final_electricity__118[[#This Row],[Generation]]*10^-3)</f>
        <v>345.17755999999997</v>
      </c>
      <c r="J18" s="32">
        <f>$D$36*(final_electricity__118[[#This Row],[Generation]]*10^-3)</f>
        <v>346.87449999999995</v>
      </c>
      <c r="K18" s="32">
        <f>SUM(final_electricity__16192426303148[[#This Row],[ B1 (kWh)]]:final_electricity__16192426303148[[#This Row],[B3 (kWh)]])</f>
        <v>693.15007999999989</v>
      </c>
      <c r="M18" s="29">
        <v>15</v>
      </c>
      <c r="N18" s="24">
        <f t="shared" si="2"/>
        <v>-0.86602000000000001</v>
      </c>
      <c r="O18" s="24">
        <f t="shared" si="3"/>
        <v>-19.358559999999954</v>
      </c>
      <c r="P18" s="24">
        <f t="shared" si="4"/>
        <v>20.323500000000024</v>
      </c>
      <c r="Q18" s="24">
        <f t="shared" si="5"/>
        <v>9.8920000000134678E-2</v>
      </c>
      <c r="R18" s="24"/>
      <c r="S18" s="29">
        <v>15</v>
      </c>
      <c r="T18" s="24">
        <f>final_electricity__16192426303148[[#This Row],[ B1 (kWh)]]*'Conversion Technologies'!$I$8</f>
        <v>3.6331544117647059E-2</v>
      </c>
      <c r="U18" s="24">
        <f>final_electricity__16192426303148[[#This Row],[B2 (kWh)]]*'Conversion Technologies'!$I$8</f>
        <v>11.42131632352941</v>
      </c>
      <c r="V18" s="24">
        <f>final_electricity__16192426303148[[#This Row],[B3 (kWh)]]*'Conversion Technologies'!$I$8</f>
        <v>11.477465073529411</v>
      </c>
      <c r="W18" s="24">
        <f>final_electricity__16192426303148[[#This Row],[Community]]*'Conversion Technologies'!$I$8</f>
        <v>22.935112941176467</v>
      </c>
      <c r="X18" s="24"/>
      <c r="Y18" s="29">
        <v>15</v>
      </c>
      <c r="Z18" s="24">
        <f>B18*tariffs[[#This Row],[Building 1 (buy)]]</f>
        <v>4.5379200000000001E-2</v>
      </c>
      <c r="AA18" s="24">
        <f>C18*tariffs[[#This Row],[Building 2 (buy)]]</f>
        <v>51.121001100000008</v>
      </c>
      <c r="AB18" s="24">
        <f>D18*tariffs[[#This Row],[Building 3 (buy)]]</f>
        <v>61.468945199999993</v>
      </c>
      <c r="AC18" s="24">
        <f>E18*tariffs[[#This Row],[Building 2 (buy)]]</f>
        <v>108.77076810000001</v>
      </c>
      <c r="AE18" s="29">
        <v>15</v>
      </c>
      <c r="AF18" s="24">
        <f>IF(N18&gt;0,N18*tariffs[[#This Row],[Building 1 (buy)]],0)</f>
        <v>0</v>
      </c>
      <c r="AG18" s="24">
        <f>IF(O18&gt;0,O18*tariffs[[#This Row],[Building 2 (buy)]],0)</f>
        <v>0</v>
      </c>
      <c r="AH18" s="24">
        <f>IF(P18&gt;0,P18*tariffs[[#This Row],[Building 3 (buy)]],0)</f>
        <v>3.4021539000000041</v>
      </c>
      <c r="AI18" s="24">
        <f>IF(Q18&gt;0,Q18*tariffs[[#This Row],[Building 2 (buy)]],0)</f>
        <v>1.5520548000021133E-2</v>
      </c>
      <c r="AK18" s="29">
        <v>15</v>
      </c>
      <c r="AL18" s="35">
        <f>IF(N18&lt;0,-N18*tariffs[[#This Row],[Building 1 (sell)]],0)</f>
        <v>5.7157320000000005E-2</v>
      </c>
      <c r="AM18" s="35">
        <f>IF(O18&lt;0,-O18*tariffs[[#This Row],[Building 2 (sell)]],0)</f>
        <v>0.43750345599999896</v>
      </c>
      <c r="AN18" s="35">
        <f>IF(P18&lt;0,-P18*tariffs[[#This Row],[Building 3 (sell)]],0)</f>
        <v>0</v>
      </c>
      <c r="AO18" s="35">
        <f>IF(Q18&lt;0,-Q18*tariffs[[#This Row],[Building 2 (sell)]],0)</f>
        <v>0</v>
      </c>
    </row>
    <row r="19" spans="1:41" x14ac:dyDescent="0.35">
      <c r="A19" s="1">
        <v>16</v>
      </c>
      <c r="B19" s="24">
        <f>final_electricity__16192426[[#This Row],[ Building 1 (kWh)]]</f>
        <v>0.161</v>
      </c>
      <c r="C19" s="24">
        <f>final_electricity__16192426[[#This Row],[Building 2 (kWh)]]</f>
        <v>305.94099999999997</v>
      </c>
      <c r="D19" s="24">
        <f>final_electricity__16192426[[#This Row],[Building 3 (kWh)]]</f>
        <v>356.8</v>
      </c>
      <c r="E19" s="24">
        <f t="shared" si="0"/>
        <v>662.90200000000004</v>
      </c>
      <c r="G19" s="29">
        <v>16</v>
      </c>
      <c r="H19" s="32">
        <f>$D$34*(final_electricity__118[[#This Row],[Generation]]*10^-3)</f>
        <v>0.99951500000000015</v>
      </c>
      <c r="I19" s="32">
        <f>$D$35*(final_electricity__118[[#This Row],[Generation]]*10^-3)</f>
        <v>314.21117000000004</v>
      </c>
      <c r="J19" s="32">
        <f>$D$36*(final_electricity__118[[#This Row],[Generation]]*10^-3)</f>
        <v>315.75587500000006</v>
      </c>
      <c r="K19" s="32">
        <f>SUM(final_electricity__16192426303148[[#This Row],[ B1 (kWh)]]:final_electricity__16192426303148[[#This Row],[B3 (kWh)]])</f>
        <v>630.96656000000007</v>
      </c>
      <c r="M19" s="29">
        <v>16</v>
      </c>
      <c r="N19" s="24">
        <f t="shared" si="2"/>
        <v>-0.83851500000000012</v>
      </c>
      <c r="O19" s="24">
        <f t="shared" si="3"/>
        <v>-8.2701700000000642</v>
      </c>
      <c r="P19" s="24">
        <f t="shared" si="4"/>
        <v>41.044124999999951</v>
      </c>
      <c r="Q19" s="24">
        <f t="shared" si="5"/>
        <v>31.935439999999971</v>
      </c>
      <c r="R19" s="24"/>
      <c r="S19" s="29">
        <v>16</v>
      </c>
      <c r="T19" s="24">
        <f>final_electricity__16192426303148[[#This Row],[ B1 (kWh)]]*'Conversion Technologies'!$I$8</f>
        <v>3.3072187500000003E-2</v>
      </c>
      <c r="U19" s="24">
        <f>final_electricity__16192426303148[[#This Row],[B2 (kWh)]]*'Conversion Technologies'!$I$8</f>
        <v>10.396693125000001</v>
      </c>
      <c r="V19" s="24">
        <f>final_electricity__16192426303148[[#This Row],[B3 (kWh)]]*'Conversion Technologies'!$I$8</f>
        <v>10.447804687500001</v>
      </c>
      <c r="W19" s="24">
        <f>final_electricity__16192426303148[[#This Row],[Community]]*'Conversion Technologies'!$I$8</f>
        <v>20.877570000000002</v>
      </c>
      <c r="X19" s="24"/>
      <c r="Y19" s="29">
        <v>16</v>
      </c>
      <c r="Z19" s="24">
        <f>B19*tariffs[[#This Row],[Building 1 (buy)]]</f>
        <v>3.1491600000000002E-2</v>
      </c>
      <c r="AA19" s="24">
        <f>C19*tariffs[[#This Row],[Building 2 (buy)]]</f>
        <v>48.002142900000003</v>
      </c>
      <c r="AB19" s="24">
        <f>D19*tariffs[[#This Row],[Building 3 (buy)]]</f>
        <v>59.728319999999997</v>
      </c>
      <c r="AC19" s="24">
        <f>E19*tariffs[[#This Row],[Building 2 (buy)]]</f>
        <v>104.00932380000002</v>
      </c>
      <c r="AE19" s="29">
        <v>16</v>
      </c>
      <c r="AF19" s="24">
        <f>IF(N19&gt;0,N19*tariffs[[#This Row],[Building 1 (buy)]],0)</f>
        <v>0</v>
      </c>
      <c r="AG19" s="24">
        <f>IF(O19&gt;0,O19*tariffs[[#This Row],[Building 2 (buy)]],0)</f>
        <v>0</v>
      </c>
      <c r="AH19" s="24">
        <f>IF(P19&gt;0,P19*tariffs[[#This Row],[Building 3 (buy)]],0)</f>
        <v>6.8707865249999918</v>
      </c>
      <c r="AI19" s="24">
        <f>IF(Q19&gt;0,Q19*tariffs[[#This Row],[Building 2 (buy)]],0)</f>
        <v>5.0106705359999957</v>
      </c>
      <c r="AK19" s="29">
        <v>16</v>
      </c>
      <c r="AL19" s="35">
        <f>IF(N19&lt;0,-N19*tariffs[[#This Row],[Building 1 (sell)]],0)</f>
        <v>5.5341990000000008E-2</v>
      </c>
      <c r="AM19" s="35">
        <f>IF(O19&lt;0,-O19*tariffs[[#This Row],[Building 2 (sell)]],0)</f>
        <v>0.18690584200000143</v>
      </c>
      <c r="AN19" s="35">
        <f>IF(P19&lt;0,-P19*tariffs[[#This Row],[Building 3 (sell)]],0)</f>
        <v>0</v>
      </c>
      <c r="AO19" s="35">
        <f>IF(Q19&lt;0,-Q19*tariffs[[#This Row],[Building 2 (sell)]],0)</f>
        <v>0</v>
      </c>
    </row>
    <row r="20" spans="1:41" x14ac:dyDescent="0.35">
      <c r="A20" s="1">
        <v>17</v>
      </c>
      <c r="B20" s="24">
        <f>final_electricity__16192426[[#This Row],[ Building 1 (kWh)]]</f>
        <v>0.28699999999999998</v>
      </c>
      <c r="C20" s="24">
        <f>final_electricity__16192426[[#This Row],[Building 2 (kWh)]]</f>
        <v>272.05799999999999</v>
      </c>
      <c r="D20" s="24">
        <f>final_electricity__16192426[[#This Row],[Building 3 (kWh)]]</f>
        <v>330.608</v>
      </c>
      <c r="E20" s="24">
        <f t="shared" si="0"/>
        <v>602.95299999999997</v>
      </c>
      <c r="G20" s="29">
        <v>17</v>
      </c>
      <c r="H20" s="32">
        <f>$D$34*(final_electricity__118[[#This Row],[Generation]]*10^-3)</f>
        <v>0.98103499999999999</v>
      </c>
      <c r="I20" s="32">
        <f>$D$35*(final_electricity__118[[#This Row],[Generation]]*10^-3)</f>
        <v>308.40172999999999</v>
      </c>
      <c r="J20" s="32">
        <f>$D$36*(final_electricity__118[[#This Row],[Generation]]*10^-3)</f>
        <v>309.91787499999998</v>
      </c>
      <c r="K20" s="32">
        <f>SUM(final_electricity__16192426303148[[#This Row],[ B1 (kWh)]]:final_electricity__16192426303148[[#This Row],[B3 (kWh)]])</f>
        <v>619.30063999999993</v>
      </c>
      <c r="M20" s="29">
        <v>17</v>
      </c>
      <c r="N20" s="24">
        <f t="shared" si="2"/>
        <v>-0.69403499999999996</v>
      </c>
      <c r="O20" s="24">
        <f t="shared" si="3"/>
        <v>-36.343729999999994</v>
      </c>
      <c r="P20" s="24">
        <f t="shared" si="4"/>
        <v>20.690125000000023</v>
      </c>
      <c r="Q20" s="24">
        <f t="shared" si="5"/>
        <v>-16.347639999999956</v>
      </c>
      <c r="R20" s="24"/>
      <c r="S20" s="29">
        <v>17</v>
      </c>
      <c r="T20" s="24">
        <f>final_electricity__16192426303148[[#This Row],[ B1 (kWh)]]*'Conversion Technologies'!$I$8</f>
        <v>3.2460716911764706E-2</v>
      </c>
      <c r="U20" s="24">
        <f>final_electricity__16192426303148[[#This Row],[B2 (kWh)]]*'Conversion Technologies'!$I$8</f>
        <v>10.204469007352941</v>
      </c>
      <c r="V20" s="24">
        <f>final_electricity__16192426303148[[#This Row],[B3 (kWh)]]*'Conversion Technologies'!$I$8</f>
        <v>10.25463556985294</v>
      </c>
      <c r="W20" s="24">
        <f>final_electricity__16192426303148[[#This Row],[Community]]*'Conversion Technologies'!$I$8</f>
        <v>20.491565294117645</v>
      </c>
      <c r="X20" s="24"/>
      <c r="Y20" s="29">
        <v>17</v>
      </c>
      <c r="Z20" s="24">
        <f>B20*tariffs[[#This Row],[Building 1 (buy)]]</f>
        <v>5.6137199999999991E-2</v>
      </c>
      <c r="AA20" s="24">
        <f>C20*tariffs[[#This Row],[Building 2 (buy)]]</f>
        <v>42.685900199999999</v>
      </c>
      <c r="AB20" s="24">
        <f>D20*tariffs[[#This Row],[Building 3 (buy)]]</f>
        <v>55.3437792</v>
      </c>
      <c r="AC20" s="24">
        <f>E20*tariffs[[#This Row],[Building 2 (buy)]]</f>
        <v>94.603325699999999</v>
      </c>
      <c r="AE20" s="29">
        <v>17</v>
      </c>
      <c r="AF20" s="24">
        <f>IF(N20&gt;0,N20*tariffs[[#This Row],[Building 1 (buy)]],0)</f>
        <v>0</v>
      </c>
      <c r="AG20" s="24">
        <f>IF(O20&gt;0,O20*tariffs[[#This Row],[Building 2 (buy)]],0)</f>
        <v>0</v>
      </c>
      <c r="AH20" s="24">
        <f>IF(P20&gt;0,P20*tariffs[[#This Row],[Building 3 (buy)]],0)</f>
        <v>3.4635269250000036</v>
      </c>
      <c r="AI20" s="24">
        <f>IF(Q20&gt;0,Q20*tariffs[[#This Row],[Building 2 (buy)]],0)</f>
        <v>0</v>
      </c>
      <c r="AK20" s="29">
        <v>17</v>
      </c>
      <c r="AL20" s="35">
        <f>IF(N20&lt;0,-N20*tariffs[[#This Row],[Building 1 (sell)]],0)</f>
        <v>4.5806309999999996E-2</v>
      </c>
      <c r="AM20" s="35">
        <f>IF(O20&lt;0,-O20*tariffs[[#This Row],[Building 2 (sell)]],0)</f>
        <v>0.82136829799999977</v>
      </c>
      <c r="AN20" s="35">
        <f>IF(P20&lt;0,-P20*tariffs[[#This Row],[Building 3 (sell)]],0)</f>
        <v>0</v>
      </c>
      <c r="AO20" s="35">
        <f>IF(Q20&lt;0,-Q20*tariffs[[#This Row],[Building 2 (sell)]],0)</f>
        <v>0.36945666399999899</v>
      </c>
    </row>
    <row r="21" spans="1:41" x14ac:dyDescent="0.35">
      <c r="A21" s="1">
        <v>18</v>
      </c>
      <c r="B21" s="24">
        <f>final_electricity__16192426[[#This Row],[ Building 1 (kWh)]]</f>
        <v>0.30199999999999999</v>
      </c>
      <c r="C21" s="24">
        <f>final_electricity__16192426[[#This Row],[Building 2 (kWh)]]</f>
        <v>225.411</v>
      </c>
      <c r="D21" s="24">
        <f>final_electricity__16192426[[#This Row],[Building 3 (kWh)]]</f>
        <v>282.596</v>
      </c>
      <c r="E21" s="24">
        <f t="shared" si="0"/>
        <v>508.30899999999997</v>
      </c>
      <c r="G21" s="29">
        <v>18</v>
      </c>
      <c r="H21" s="32">
        <f>$D$34*(final_electricity__118[[#This Row],[Generation]]*10^-3)</f>
        <v>0.83660500000000015</v>
      </c>
      <c r="I21" s="32">
        <f>$D$35*(final_electricity__118[[#This Row],[Generation]]*10^-3)</f>
        <v>262.99819000000002</v>
      </c>
      <c r="J21" s="32">
        <f>$D$36*(final_electricity__118[[#This Row],[Generation]]*10^-3)</f>
        <v>264.29112500000002</v>
      </c>
      <c r="K21" s="32">
        <f>SUM(final_electricity__16192426303148[[#This Row],[ B1 (kWh)]]:final_electricity__16192426303148[[#This Row],[B3 (kWh)]])</f>
        <v>528.12592000000006</v>
      </c>
      <c r="M21" s="29">
        <v>18</v>
      </c>
      <c r="N21" s="24">
        <f t="shared" si="2"/>
        <v>-0.53460500000000022</v>
      </c>
      <c r="O21" s="24">
        <f t="shared" si="3"/>
        <v>-37.587190000000021</v>
      </c>
      <c r="P21" s="24">
        <f t="shared" si="4"/>
        <v>18.304874999999981</v>
      </c>
      <c r="Q21" s="24">
        <f t="shared" si="5"/>
        <v>-19.816920000000096</v>
      </c>
      <c r="R21" s="24"/>
      <c r="S21" s="29">
        <v>18</v>
      </c>
      <c r="T21" s="24">
        <f>final_electricity__16192426303148[[#This Row],[ B1 (kWh)]]*'Conversion Technologies'!$I$8</f>
        <v>2.7681783088235299E-2</v>
      </c>
      <c r="U21" s="24">
        <f>final_electricity__16192426303148[[#This Row],[B2 (kWh)]]*'Conversion Technologies'!$I$8</f>
        <v>8.7021459926470595</v>
      </c>
      <c r="V21" s="24">
        <f>final_electricity__16192426303148[[#This Row],[B3 (kWh)]]*'Conversion Technologies'!$I$8</f>
        <v>8.7449269301470594</v>
      </c>
      <c r="W21" s="24">
        <f>final_electricity__16192426303148[[#This Row],[Community]]*'Conversion Technologies'!$I$8</f>
        <v>17.474754705882354</v>
      </c>
      <c r="X21" s="24"/>
      <c r="Y21" s="29">
        <v>18</v>
      </c>
      <c r="Z21" s="24">
        <f>B21*tariffs[[#This Row],[Building 1 (buy)]]</f>
        <v>5.9071199999999997E-2</v>
      </c>
      <c r="AA21" s="24">
        <f>C21*tariffs[[#This Row],[Building 2 (buy)]]</f>
        <v>35.366985900000003</v>
      </c>
      <c r="AB21" s="24">
        <f>D21*tariffs[[#This Row],[Building 3 (buy)]]</f>
        <v>47.306570399999998</v>
      </c>
      <c r="AC21" s="24">
        <f>E21*tariffs[[#This Row],[Building 2 (buy)]]</f>
        <v>79.753682100000006</v>
      </c>
      <c r="AE21" s="29">
        <v>18</v>
      </c>
      <c r="AF21" s="24">
        <f>IF(N21&gt;0,N21*tariffs[[#This Row],[Building 1 (buy)]],0)</f>
        <v>0</v>
      </c>
      <c r="AG21" s="24">
        <f>IF(O21&gt;0,O21*tariffs[[#This Row],[Building 2 (buy)]],0)</f>
        <v>0</v>
      </c>
      <c r="AH21" s="24">
        <f>IF(P21&gt;0,P21*tariffs[[#This Row],[Building 3 (buy)]],0)</f>
        <v>3.0642360749999966</v>
      </c>
      <c r="AI21" s="24">
        <f>IF(Q21&gt;0,Q21*tariffs[[#This Row],[Building 2 (buy)]],0)</f>
        <v>0</v>
      </c>
      <c r="AK21" s="29">
        <v>18</v>
      </c>
      <c r="AL21" s="35">
        <f>IF(N21&lt;0,-N21*tariffs[[#This Row],[Building 1 (sell)]],0)</f>
        <v>3.5283930000000019E-2</v>
      </c>
      <c r="AM21" s="35">
        <f>IF(O21&lt;0,-O21*tariffs[[#This Row],[Building 2 (sell)]],0)</f>
        <v>0.87954024600000047</v>
      </c>
      <c r="AN21" s="35">
        <f>IF(P21&lt;0,-P21*tariffs[[#This Row],[Building 3 (sell)]],0)</f>
        <v>0</v>
      </c>
      <c r="AO21" s="35">
        <f>IF(Q21&lt;0,-Q21*tariffs[[#This Row],[Building 2 (sell)]],0)</f>
        <v>0.46371592800000228</v>
      </c>
    </row>
    <row r="22" spans="1:41" x14ac:dyDescent="0.35">
      <c r="A22" s="1">
        <v>19</v>
      </c>
      <c r="B22" s="24">
        <f>final_electricity__16192426[[#This Row],[ Building 1 (kWh)]]</f>
        <v>0.154</v>
      </c>
      <c r="C22" s="24">
        <f>final_electricity__16192426[[#This Row],[Building 2 (kWh)]]</f>
        <v>200.375</v>
      </c>
      <c r="D22" s="24">
        <f>final_electricity__16192426[[#This Row],[Building 3 (kWh)]]</f>
        <v>220.05699999999999</v>
      </c>
      <c r="E22" s="24">
        <f t="shared" si="0"/>
        <v>420.58600000000001</v>
      </c>
      <c r="G22" s="29">
        <v>19</v>
      </c>
      <c r="H22" s="32">
        <f>$D$34*(final_electricity__118[[#This Row],[Generation]]*10^-3)</f>
        <v>0</v>
      </c>
      <c r="I22" s="32">
        <f>$D$35*(final_electricity__118[[#This Row],[Generation]]*10^-3)</f>
        <v>0</v>
      </c>
      <c r="J22" s="32">
        <f>$D$36*(final_electricity__118[[#This Row],[Generation]]*10^-3)</f>
        <v>0</v>
      </c>
      <c r="K22" s="32">
        <f>SUM(final_electricity__16192426303148[[#This Row],[ B1 (kWh)]]:final_electricity__16192426303148[[#This Row],[B3 (kWh)]])</f>
        <v>0</v>
      </c>
      <c r="M22" s="29">
        <v>19</v>
      </c>
      <c r="N22" s="24">
        <f t="shared" si="2"/>
        <v>0.154</v>
      </c>
      <c r="O22" s="24">
        <f t="shared" si="3"/>
        <v>200.375</v>
      </c>
      <c r="P22" s="24">
        <f t="shared" si="4"/>
        <v>220.05699999999999</v>
      </c>
      <c r="Q22" s="24">
        <f t="shared" si="5"/>
        <v>420.58600000000001</v>
      </c>
      <c r="R22" s="24"/>
      <c r="S22" s="29">
        <v>19</v>
      </c>
      <c r="T22" s="24">
        <f>final_electricity__16192426303148[[#This Row],[ B1 (kWh)]]*'Conversion Technologies'!$I$8</f>
        <v>0</v>
      </c>
      <c r="U22" s="24">
        <f>final_electricity__16192426303148[[#This Row],[B2 (kWh)]]*'Conversion Technologies'!$I$8</f>
        <v>0</v>
      </c>
      <c r="V22" s="24">
        <f>final_electricity__16192426303148[[#This Row],[B3 (kWh)]]*'Conversion Technologies'!$I$8</f>
        <v>0</v>
      </c>
      <c r="W22" s="24">
        <f>final_electricity__16192426303148[[#This Row],[Community]]*'Conversion Technologies'!$I$8</f>
        <v>0</v>
      </c>
      <c r="X22" s="24"/>
      <c r="Y22" s="29">
        <v>19</v>
      </c>
      <c r="Z22" s="24">
        <f>B22*tariffs[[#This Row],[Building 1 (buy)]]</f>
        <v>3.0122400000000001E-2</v>
      </c>
      <c r="AA22" s="24">
        <f>C22*tariffs[[#This Row],[Building 2 (buy)]]</f>
        <v>35.185850000000002</v>
      </c>
      <c r="AB22" s="24">
        <f>D22*tariffs[[#This Row],[Building 3 (buy)]]</f>
        <v>38.620003499999996</v>
      </c>
      <c r="AC22" s="24">
        <f>E22*tariffs[[#This Row],[Building 2 (buy)]]</f>
        <v>73.854901600000005</v>
      </c>
      <c r="AE22" s="29">
        <v>19</v>
      </c>
      <c r="AF22" s="24">
        <f>IF(N22&gt;0,N22*tariffs[[#This Row],[Building 1 (buy)]],0)</f>
        <v>3.0122400000000001E-2</v>
      </c>
      <c r="AG22" s="24">
        <f>IF(O22&gt;0,O22*tariffs[[#This Row],[Building 2 (buy)]],0)</f>
        <v>35.185850000000002</v>
      </c>
      <c r="AH22" s="24">
        <f>IF(P22&gt;0,P22*tariffs[[#This Row],[Building 3 (buy)]],0)</f>
        <v>38.620003499999996</v>
      </c>
      <c r="AI22" s="24">
        <f>IF(Q22&gt;0,Q22*tariffs[[#This Row],[Building 2 (buy)]],0)</f>
        <v>73.854901600000005</v>
      </c>
      <c r="AK22" s="29">
        <v>19</v>
      </c>
      <c r="AL22" s="35">
        <f>IF(N22&lt;0,-N22*tariffs[[#This Row],[Building 1 (sell)]],0)</f>
        <v>0</v>
      </c>
      <c r="AM22" s="35">
        <f>IF(O22&lt;0,-O22*tariffs[[#This Row],[Building 2 (sell)]],0)</f>
        <v>0</v>
      </c>
      <c r="AN22" s="35">
        <f>IF(P22&lt;0,-P22*tariffs[[#This Row],[Building 3 (sell)]],0)</f>
        <v>0</v>
      </c>
      <c r="AO22" s="35">
        <f>IF(Q22&lt;0,-Q22*tariffs[[#This Row],[Building 2 (sell)]],0)</f>
        <v>0</v>
      </c>
    </row>
    <row r="23" spans="1:41" x14ac:dyDescent="0.35">
      <c r="A23" s="1">
        <v>20</v>
      </c>
      <c r="B23" s="24">
        <f>final_electricity__16192426[[#This Row],[ Building 1 (kWh)]]</f>
        <v>0.65300000000000002</v>
      </c>
      <c r="C23" s="24">
        <f>final_electricity__16192426[[#This Row],[Building 2 (kWh)]]</f>
        <v>163.98</v>
      </c>
      <c r="D23" s="24">
        <f>final_electricity__16192426[[#This Row],[Building 3 (kWh)]]</f>
        <v>178.715</v>
      </c>
      <c r="E23" s="24">
        <f t="shared" si="0"/>
        <v>343.34799999999996</v>
      </c>
      <c r="G23" s="29">
        <v>20</v>
      </c>
      <c r="H23" s="32">
        <f>$D$34*(final_electricity__118[[#This Row],[Generation]]*10^-3)</f>
        <v>0</v>
      </c>
      <c r="I23" s="32">
        <f>$D$35*(final_electricity__118[[#This Row],[Generation]]*10^-3)</f>
        <v>0</v>
      </c>
      <c r="J23" s="32">
        <f>$D$36*(final_electricity__118[[#This Row],[Generation]]*10^-3)</f>
        <v>0</v>
      </c>
      <c r="K23" s="32">
        <f>SUM(final_electricity__16192426303148[[#This Row],[ B1 (kWh)]]:final_electricity__16192426303148[[#This Row],[B3 (kWh)]])</f>
        <v>0</v>
      </c>
      <c r="M23" s="29">
        <v>20</v>
      </c>
      <c r="N23" s="24">
        <f t="shared" si="2"/>
        <v>0.65300000000000002</v>
      </c>
      <c r="O23" s="24">
        <f t="shared" si="3"/>
        <v>163.98</v>
      </c>
      <c r="P23" s="24">
        <f t="shared" si="4"/>
        <v>178.715</v>
      </c>
      <c r="Q23" s="24">
        <f t="shared" si="5"/>
        <v>343.34799999999996</v>
      </c>
      <c r="R23" s="24"/>
      <c r="S23" s="29">
        <v>20</v>
      </c>
      <c r="T23" s="24">
        <f>final_electricity__16192426303148[[#This Row],[ B1 (kWh)]]*'Conversion Technologies'!$I$8</f>
        <v>0</v>
      </c>
      <c r="U23" s="24">
        <f>final_electricity__16192426303148[[#This Row],[B2 (kWh)]]*'Conversion Technologies'!$I$8</f>
        <v>0</v>
      </c>
      <c r="V23" s="24">
        <f>final_electricity__16192426303148[[#This Row],[B3 (kWh)]]*'Conversion Technologies'!$I$8</f>
        <v>0</v>
      </c>
      <c r="W23" s="24">
        <f>final_electricity__16192426303148[[#This Row],[Community]]*'Conversion Technologies'!$I$8</f>
        <v>0</v>
      </c>
      <c r="X23" s="24"/>
      <c r="Y23" s="29">
        <v>20</v>
      </c>
      <c r="Z23" s="24">
        <f>B23*tariffs[[#This Row],[Building 1 (buy)]]</f>
        <v>0.1277268</v>
      </c>
      <c r="AA23" s="24">
        <f>C23*tariffs[[#This Row],[Building 2 (buy)]]</f>
        <v>28.794888</v>
      </c>
      <c r="AB23" s="24">
        <f>D23*tariffs[[#This Row],[Building 3 (buy)]]</f>
        <v>31.364482499999998</v>
      </c>
      <c r="AC23" s="24">
        <f>E23*tariffs[[#This Row],[Building 2 (buy)]]</f>
        <v>60.291908799999995</v>
      </c>
      <c r="AE23" s="29">
        <v>20</v>
      </c>
      <c r="AF23" s="24">
        <f>IF(N23&gt;0,N23*tariffs[[#This Row],[Building 1 (buy)]],0)</f>
        <v>0.1277268</v>
      </c>
      <c r="AG23" s="24">
        <f>IF(O23&gt;0,O23*tariffs[[#This Row],[Building 2 (buy)]],0)</f>
        <v>28.794888</v>
      </c>
      <c r="AH23" s="24">
        <f>IF(P23&gt;0,P23*tariffs[[#This Row],[Building 3 (buy)]],0)</f>
        <v>31.364482499999998</v>
      </c>
      <c r="AI23" s="24">
        <f>IF(Q23&gt;0,Q23*tariffs[[#This Row],[Building 2 (buy)]],0)</f>
        <v>60.291908799999995</v>
      </c>
      <c r="AK23" s="29">
        <v>20</v>
      </c>
      <c r="AL23" s="35">
        <f>IF(N23&lt;0,-N23*tariffs[[#This Row],[Building 1 (sell)]],0)</f>
        <v>0</v>
      </c>
      <c r="AM23" s="35">
        <f>IF(O23&lt;0,-O23*tariffs[[#This Row],[Building 2 (sell)]],0)</f>
        <v>0</v>
      </c>
      <c r="AN23" s="35">
        <f>IF(P23&lt;0,-P23*tariffs[[#This Row],[Building 3 (sell)]],0)</f>
        <v>0</v>
      </c>
      <c r="AO23" s="35">
        <f>IF(Q23&lt;0,-Q23*tariffs[[#This Row],[Building 2 (sell)]],0)</f>
        <v>0</v>
      </c>
    </row>
    <row r="24" spans="1:41" x14ac:dyDescent="0.35">
      <c r="A24" s="1">
        <v>21</v>
      </c>
      <c r="B24" s="24">
        <f>final_electricity__16192426[[#This Row],[ Building 1 (kWh)]]</f>
        <v>1.663</v>
      </c>
      <c r="C24" s="24">
        <f>final_electricity__16192426[[#This Row],[Building 2 (kWh)]]</f>
        <v>148.77500000000001</v>
      </c>
      <c r="D24" s="24">
        <f>final_electricity__16192426[[#This Row],[Building 3 (kWh)]]</f>
        <v>153.333</v>
      </c>
      <c r="E24" s="24">
        <f t="shared" si="0"/>
        <v>303.77100000000002</v>
      </c>
      <c r="G24" s="29">
        <v>21</v>
      </c>
      <c r="H24" s="32">
        <f>$D$34*(final_electricity__118[[#This Row],[Generation]]*10^-3)</f>
        <v>0</v>
      </c>
      <c r="I24" s="32">
        <f>$D$35*(final_electricity__118[[#This Row],[Generation]]*10^-3)</f>
        <v>0</v>
      </c>
      <c r="J24" s="32">
        <f>$D$36*(final_electricity__118[[#This Row],[Generation]]*10^-3)</f>
        <v>0</v>
      </c>
      <c r="K24" s="32">
        <f>SUM(final_electricity__16192426303148[[#This Row],[ B1 (kWh)]]:final_electricity__16192426303148[[#This Row],[B3 (kWh)]])</f>
        <v>0</v>
      </c>
      <c r="M24" s="29">
        <v>21</v>
      </c>
      <c r="N24" s="24">
        <f t="shared" si="2"/>
        <v>1.663</v>
      </c>
      <c r="O24" s="24">
        <f t="shared" si="3"/>
        <v>148.77500000000001</v>
      </c>
      <c r="P24" s="24">
        <f t="shared" si="4"/>
        <v>153.333</v>
      </c>
      <c r="Q24" s="24">
        <f t="shared" si="5"/>
        <v>303.77100000000002</v>
      </c>
      <c r="R24" s="24"/>
      <c r="S24" s="29">
        <v>21</v>
      </c>
      <c r="T24" s="24">
        <f>final_electricity__16192426303148[[#This Row],[ B1 (kWh)]]*'Conversion Technologies'!$I$8</f>
        <v>0</v>
      </c>
      <c r="U24" s="24">
        <f>final_electricity__16192426303148[[#This Row],[B2 (kWh)]]*'Conversion Technologies'!$I$8</f>
        <v>0</v>
      </c>
      <c r="V24" s="24">
        <f>final_electricity__16192426303148[[#This Row],[B3 (kWh)]]*'Conversion Technologies'!$I$8</f>
        <v>0</v>
      </c>
      <c r="W24" s="24">
        <f>final_electricity__16192426303148[[#This Row],[Community]]*'Conversion Technologies'!$I$8</f>
        <v>0</v>
      </c>
      <c r="X24" s="24"/>
      <c r="Y24" s="29">
        <v>21</v>
      </c>
      <c r="Z24" s="24">
        <f>B24*tariffs[[#This Row],[Building 1 (buy)]]</f>
        <v>0.32528279999999998</v>
      </c>
      <c r="AA24" s="24">
        <f>C24*tariffs[[#This Row],[Building 2 (buy)]]</f>
        <v>23.342797500000003</v>
      </c>
      <c r="AB24" s="24">
        <f>D24*tariffs[[#This Row],[Building 3 (buy)]]</f>
        <v>25.667944199999997</v>
      </c>
      <c r="AC24" s="24">
        <f>E24*tariffs[[#This Row],[Building 2 (buy)]]</f>
        <v>47.661669900000007</v>
      </c>
      <c r="AE24" s="29">
        <v>21</v>
      </c>
      <c r="AF24" s="24">
        <f>IF(N24&gt;0,N24*tariffs[[#This Row],[Building 1 (buy)]],0)</f>
        <v>0.32528279999999998</v>
      </c>
      <c r="AG24" s="24">
        <f>IF(O24&gt;0,O24*tariffs[[#This Row],[Building 2 (buy)]],0)</f>
        <v>23.342797500000003</v>
      </c>
      <c r="AH24" s="24">
        <f>IF(P24&gt;0,P24*tariffs[[#This Row],[Building 3 (buy)]],0)</f>
        <v>25.667944199999997</v>
      </c>
      <c r="AI24" s="24">
        <f>IF(Q24&gt;0,Q24*tariffs[[#This Row],[Building 2 (buy)]],0)</f>
        <v>47.661669900000007</v>
      </c>
      <c r="AK24" s="29">
        <v>21</v>
      </c>
      <c r="AL24" s="35">
        <f>IF(N24&lt;0,-N24*tariffs[[#This Row],[Building 1 (sell)]],0)</f>
        <v>0</v>
      </c>
      <c r="AM24" s="35">
        <f>IF(O24&lt;0,-O24*tariffs[[#This Row],[Building 2 (sell)]],0)</f>
        <v>0</v>
      </c>
      <c r="AN24" s="35">
        <f>IF(P24&lt;0,-P24*tariffs[[#This Row],[Building 3 (sell)]],0)</f>
        <v>0</v>
      </c>
      <c r="AO24" s="35">
        <f>IF(Q24&lt;0,-Q24*tariffs[[#This Row],[Building 2 (sell)]],0)</f>
        <v>0</v>
      </c>
    </row>
    <row r="25" spans="1:41" x14ac:dyDescent="0.35">
      <c r="A25" s="1">
        <v>22</v>
      </c>
      <c r="B25" s="24">
        <f>final_electricity__16192426[[#This Row],[ Building 1 (kWh)]]</f>
        <v>0.755</v>
      </c>
      <c r="C25" s="24">
        <f>final_electricity__16192426[[#This Row],[Building 2 (kWh)]]</f>
        <v>128.393</v>
      </c>
      <c r="D25" s="24">
        <f>final_electricity__16192426[[#This Row],[Building 3 (kWh)]]</f>
        <v>138.67599999999999</v>
      </c>
      <c r="E25" s="24">
        <f t="shared" si="0"/>
        <v>267.82399999999996</v>
      </c>
      <c r="G25" s="29">
        <v>22</v>
      </c>
      <c r="H25" s="32">
        <f>$D$34*(final_electricity__118[[#This Row],[Generation]]*10^-3)</f>
        <v>0</v>
      </c>
      <c r="I25" s="32">
        <f>$D$35*(final_electricity__118[[#This Row],[Generation]]*10^-3)</f>
        <v>0</v>
      </c>
      <c r="J25" s="32">
        <f>$D$36*(final_electricity__118[[#This Row],[Generation]]*10^-3)</f>
        <v>0</v>
      </c>
      <c r="K25" s="32">
        <f>SUM(final_electricity__16192426303148[[#This Row],[ B1 (kWh)]]:final_electricity__16192426303148[[#This Row],[B3 (kWh)]])</f>
        <v>0</v>
      </c>
      <c r="M25" s="29">
        <v>22</v>
      </c>
      <c r="N25" s="24">
        <f t="shared" si="2"/>
        <v>0.755</v>
      </c>
      <c r="O25" s="24">
        <f t="shared" si="3"/>
        <v>128.393</v>
      </c>
      <c r="P25" s="24">
        <f t="shared" si="4"/>
        <v>138.67599999999999</v>
      </c>
      <c r="Q25" s="24">
        <f t="shared" si="5"/>
        <v>267.82399999999996</v>
      </c>
      <c r="R25" s="24"/>
      <c r="S25" s="29">
        <v>22</v>
      </c>
      <c r="T25" s="24">
        <f>final_electricity__16192426303148[[#This Row],[ B1 (kWh)]]*'Conversion Technologies'!$I$8</f>
        <v>0</v>
      </c>
      <c r="U25" s="24">
        <f>final_electricity__16192426303148[[#This Row],[B2 (kWh)]]*'Conversion Technologies'!$I$8</f>
        <v>0</v>
      </c>
      <c r="V25" s="24">
        <f>final_electricity__16192426303148[[#This Row],[B3 (kWh)]]*'Conversion Technologies'!$I$8</f>
        <v>0</v>
      </c>
      <c r="W25" s="24">
        <f>final_electricity__16192426303148[[#This Row],[Community]]*'Conversion Technologies'!$I$8</f>
        <v>0</v>
      </c>
      <c r="X25" s="24"/>
      <c r="Y25" s="29">
        <v>22</v>
      </c>
      <c r="Z25" s="24">
        <f>B25*tariffs[[#This Row],[Building 1 (buy)]]</f>
        <v>0.147678</v>
      </c>
      <c r="AA25" s="24">
        <f>C25*tariffs[[#This Row],[Building 2 (buy)]]</f>
        <v>20.1448617</v>
      </c>
      <c r="AB25" s="24">
        <f>D25*tariffs[[#This Row],[Building 3 (buy)]]</f>
        <v>23.214362399999995</v>
      </c>
      <c r="AC25" s="24">
        <f>E25*tariffs[[#This Row],[Building 2 (buy)]]</f>
        <v>42.021585599999995</v>
      </c>
      <c r="AE25" s="29">
        <v>22</v>
      </c>
      <c r="AF25" s="24">
        <f>IF(N25&gt;0,N25*tariffs[[#This Row],[Building 1 (buy)]],0)</f>
        <v>0.147678</v>
      </c>
      <c r="AG25" s="24">
        <f>IF(O25&gt;0,O25*tariffs[[#This Row],[Building 2 (buy)]],0)</f>
        <v>20.1448617</v>
      </c>
      <c r="AH25" s="24">
        <f>IF(P25&gt;0,P25*tariffs[[#This Row],[Building 3 (buy)]],0)</f>
        <v>23.214362399999995</v>
      </c>
      <c r="AI25" s="24">
        <f>IF(Q25&gt;0,Q25*tariffs[[#This Row],[Building 2 (buy)]],0)</f>
        <v>42.021585599999995</v>
      </c>
      <c r="AK25" s="29">
        <v>22</v>
      </c>
      <c r="AL25" s="35">
        <f>IF(N25&lt;0,-N25*tariffs[[#This Row],[Building 1 (sell)]],0)</f>
        <v>0</v>
      </c>
      <c r="AM25" s="35">
        <f>IF(O25&lt;0,-O25*tariffs[[#This Row],[Building 2 (sell)]],0)</f>
        <v>0</v>
      </c>
      <c r="AN25" s="35">
        <f>IF(P25&lt;0,-P25*tariffs[[#This Row],[Building 3 (sell)]],0)</f>
        <v>0</v>
      </c>
      <c r="AO25" s="35">
        <f>IF(Q25&lt;0,-Q25*tariffs[[#This Row],[Building 2 (sell)]],0)</f>
        <v>0</v>
      </c>
    </row>
    <row r="26" spans="1:41" x14ac:dyDescent="0.35">
      <c r="A26" s="1">
        <v>23</v>
      </c>
      <c r="B26" s="24">
        <f>final_electricity__16192426[[#This Row],[ Building 1 (kWh)]]</f>
        <v>0.44400000000000001</v>
      </c>
      <c r="C26" s="24">
        <f>final_electricity__16192426[[#This Row],[Building 2 (kWh)]]</f>
        <v>121.883</v>
      </c>
      <c r="D26" s="24">
        <f>final_electricity__16192426[[#This Row],[Building 3 (kWh)]]</f>
        <v>135.27199999999999</v>
      </c>
      <c r="E26" s="24">
        <f t="shared" si="0"/>
        <v>257.59899999999999</v>
      </c>
      <c r="G26" s="29">
        <v>23</v>
      </c>
      <c r="H26" s="32">
        <f>$D$34*(final_electricity__118[[#This Row],[Generation]]*10^-3)</f>
        <v>0</v>
      </c>
      <c r="I26" s="32">
        <f>$D$35*(final_electricity__118[[#This Row],[Generation]]*10^-3)</f>
        <v>0</v>
      </c>
      <c r="J26" s="32">
        <f>$D$36*(final_electricity__118[[#This Row],[Generation]]*10^-3)</f>
        <v>0</v>
      </c>
      <c r="K26" s="32">
        <f>SUM(final_electricity__16192426303148[[#This Row],[ B1 (kWh)]]:final_electricity__16192426303148[[#This Row],[B3 (kWh)]])</f>
        <v>0</v>
      </c>
      <c r="M26" s="29">
        <v>23</v>
      </c>
      <c r="N26" s="24">
        <f t="shared" si="2"/>
        <v>0.44400000000000001</v>
      </c>
      <c r="O26" s="24">
        <f t="shared" si="3"/>
        <v>121.883</v>
      </c>
      <c r="P26" s="24">
        <f t="shared" si="4"/>
        <v>135.27199999999999</v>
      </c>
      <c r="Q26" s="24">
        <f t="shared" si="5"/>
        <v>257.59899999999999</v>
      </c>
      <c r="R26" s="24"/>
      <c r="S26" s="29">
        <v>23</v>
      </c>
      <c r="T26" s="24">
        <f>final_electricity__16192426303148[[#This Row],[ B1 (kWh)]]*'Conversion Technologies'!$I$8</f>
        <v>0</v>
      </c>
      <c r="U26" s="24">
        <f>final_electricity__16192426303148[[#This Row],[B2 (kWh)]]*'Conversion Technologies'!$I$8</f>
        <v>0</v>
      </c>
      <c r="V26" s="24">
        <f>final_electricity__16192426303148[[#This Row],[B3 (kWh)]]*'Conversion Technologies'!$I$8</f>
        <v>0</v>
      </c>
      <c r="W26" s="24">
        <f>final_electricity__16192426303148[[#This Row],[Community]]*'Conversion Technologies'!$I$8</f>
        <v>0</v>
      </c>
      <c r="X26" s="24"/>
      <c r="Y26" s="29">
        <v>23</v>
      </c>
      <c r="Z26" s="24">
        <f>B26*tariffs[[#This Row],[Building 1 (buy)]]</f>
        <v>8.6846400000000004E-2</v>
      </c>
      <c r="AA26" s="24">
        <f>C26*tariffs[[#This Row],[Building 2 (buy)]]</f>
        <v>19.123442700000002</v>
      </c>
      <c r="AB26" s="24">
        <f>D26*tariffs[[#This Row],[Building 3 (buy)]]</f>
        <v>22.644532799999997</v>
      </c>
      <c r="AC26" s="24">
        <f>E26*tariffs[[#This Row],[Building 2 (buy)]]</f>
        <v>40.417283099999999</v>
      </c>
      <c r="AE26" s="29">
        <v>23</v>
      </c>
      <c r="AF26" s="24">
        <f>IF(N26&gt;0,N26*tariffs[[#This Row],[Building 1 (buy)]],0)</f>
        <v>8.6846400000000004E-2</v>
      </c>
      <c r="AG26" s="24">
        <f>IF(O26&gt;0,O26*tariffs[[#This Row],[Building 2 (buy)]],0)</f>
        <v>19.123442700000002</v>
      </c>
      <c r="AH26" s="24">
        <f>IF(P26&gt;0,P26*tariffs[[#This Row],[Building 3 (buy)]],0)</f>
        <v>22.644532799999997</v>
      </c>
      <c r="AI26" s="24">
        <f>IF(Q26&gt;0,Q26*tariffs[[#This Row],[Building 2 (buy)]],0)</f>
        <v>40.417283099999999</v>
      </c>
      <c r="AK26" s="29">
        <v>23</v>
      </c>
      <c r="AL26" s="35">
        <f>IF(N26&lt;0,-N26*tariffs[[#This Row],[Building 1 (sell)]],0)</f>
        <v>0</v>
      </c>
      <c r="AM26" s="35">
        <f>IF(O26&lt;0,-O26*tariffs[[#This Row],[Building 2 (sell)]],0)</f>
        <v>0</v>
      </c>
      <c r="AN26" s="35">
        <f>IF(P26&lt;0,-P26*tariffs[[#This Row],[Building 3 (sell)]],0)</f>
        <v>0</v>
      </c>
      <c r="AO26" s="35">
        <f>IF(Q26&lt;0,-Q26*tariffs[[#This Row],[Building 2 (sell)]],0)</f>
        <v>0</v>
      </c>
    </row>
    <row r="27" spans="1:41" x14ac:dyDescent="0.35">
      <c r="A27" s="26" t="s">
        <v>165</v>
      </c>
      <c r="B27" s="24">
        <f>SUM(B3:B26)</f>
        <v>25.747321621047867</v>
      </c>
      <c r="C27" s="24">
        <f>SUM(C3:C26)</f>
        <v>4859.128999999999</v>
      </c>
      <c r="D27" s="24">
        <f t="shared" ref="D27" si="6">SUM(D3:D26)</f>
        <v>5688.4694</v>
      </c>
      <c r="E27" s="24">
        <f t="shared" si="0"/>
        <v>10573.345721621048</v>
      </c>
      <c r="G27" s="30" t="s">
        <v>165</v>
      </c>
      <c r="H27" s="35">
        <f>SUM(H3:H26)</f>
        <v>8.904555000000002</v>
      </c>
      <c r="I27" s="35">
        <f t="shared" ref="I27:K27" si="7">SUM(I3:I26)</f>
        <v>2799.26829</v>
      </c>
      <c r="J27" s="35">
        <f t="shared" si="7"/>
        <v>2813.0298750000002</v>
      </c>
      <c r="K27" s="35">
        <f t="shared" si="7"/>
        <v>5621.2027200000011</v>
      </c>
      <c r="M27" s="30" t="s">
        <v>165</v>
      </c>
      <c r="N27" s="24">
        <f>SUM(N3:N26)</f>
        <v>16.842766621047868</v>
      </c>
      <c r="O27" s="24">
        <f t="shared" ref="O27:Q27" si="8">SUM(O3:O26)</f>
        <v>2059.8607099999995</v>
      </c>
      <c r="P27" s="24">
        <f t="shared" si="8"/>
        <v>2875.4395249999993</v>
      </c>
      <c r="Q27" s="24">
        <f t="shared" si="8"/>
        <v>4952.143001621047</v>
      </c>
      <c r="R27" s="24"/>
      <c r="S27" s="30" t="s">
        <v>165</v>
      </c>
      <c r="T27" s="24">
        <f>SUM(T3:T26)</f>
        <v>0.29463601102941184</v>
      </c>
      <c r="U27" s="24">
        <f t="shared" ref="U27:V27" si="9">SUM(U3:U26)</f>
        <v>92.622847830882364</v>
      </c>
      <c r="V27" s="24">
        <f t="shared" si="9"/>
        <v>93.078194393382347</v>
      </c>
      <c r="W27" s="24">
        <f>SUM(W3:W26)</f>
        <v>185.99567823529412</v>
      </c>
      <c r="X27" s="24"/>
      <c r="Y27" s="30" t="s">
        <v>165</v>
      </c>
      <c r="Z27" s="24">
        <f>SUM(Z3:Z26)</f>
        <v>3.4386981546607576</v>
      </c>
      <c r="AA27" s="24">
        <f t="shared" ref="AA27:AB27" si="10">SUM(AA3:AA26)</f>
        <v>736.45668079999996</v>
      </c>
      <c r="AB27" s="24">
        <f t="shared" si="10"/>
        <v>920.44633620000002</v>
      </c>
      <c r="AC27" s="24">
        <f>SUM(AC3:AC26)</f>
        <v>1613.0250786310526</v>
      </c>
      <c r="AE27" s="30" t="s">
        <v>165</v>
      </c>
      <c r="AF27" s="24">
        <f>SUM(AF3:AF26)</f>
        <v>3.0514101546607582</v>
      </c>
      <c r="AG27" s="24">
        <f t="shared" ref="AG27:AH27" si="11">SUM(AG3:AG26)</f>
        <v>331.28772864400003</v>
      </c>
      <c r="AH27" s="24">
        <f t="shared" si="11"/>
        <v>452.02092442499992</v>
      </c>
      <c r="AI27" s="24">
        <f>SUM(AI3:AI26)</f>
        <v>742.03033199105232</v>
      </c>
      <c r="AK27" s="30" t="s">
        <v>165</v>
      </c>
      <c r="AL27" s="35">
        <f>SUM(AL3:AL26)</f>
        <v>0.45702063000000009</v>
      </c>
      <c r="AM27" s="35">
        <f t="shared" ref="AM27:AN27" si="12">SUM(AM3:AM26)</f>
        <v>6.2013143700000022</v>
      </c>
      <c r="AN27" s="35">
        <f t="shared" si="12"/>
        <v>0.86201212500000068</v>
      </c>
      <c r="AO27" s="35">
        <f>SUM(AO3:AO26)</f>
        <v>4.2100222880000011</v>
      </c>
    </row>
    <row r="30" spans="1:41" ht="21" x14ac:dyDescent="0.5">
      <c r="B30" s="134" t="s">
        <v>237</v>
      </c>
      <c r="C30" s="134"/>
      <c r="D30" s="134"/>
      <c r="E30" s="134"/>
      <c r="M30" s="12" t="s">
        <v>233</v>
      </c>
      <c r="N30" s="12" t="s">
        <v>228</v>
      </c>
      <c r="O30" s="12" t="s">
        <v>229</v>
      </c>
      <c r="P30" s="12" t="s">
        <v>230</v>
      </c>
      <c r="Q30" s="12" t="s">
        <v>8</v>
      </c>
      <c r="R30" s="61"/>
      <c r="S30" s="61"/>
      <c r="T30" s="61"/>
      <c r="U30" s="61"/>
      <c r="V30" s="61"/>
      <c r="W30" s="61"/>
    </row>
    <row r="31" spans="1:41" ht="15.5" x14ac:dyDescent="0.35">
      <c r="J31" s="56" t="s">
        <v>247</v>
      </c>
      <c r="M31" s="12" t="s">
        <v>231</v>
      </c>
      <c r="N31" s="10">
        <f>D34*'Conversion Technologies'!$I$5</f>
        <v>4950</v>
      </c>
      <c r="O31" s="10">
        <f>D35*'Conversion Technologies'!$I$5</f>
        <v>1556100</v>
      </c>
      <c r="P31" s="10">
        <f>D36*'Conversion Technologies'!$I$5</f>
        <v>1563750</v>
      </c>
      <c r="Q31" s="10">
        <f>SUM(N31:P31)</f>
        <v>3124800</v>
      </c>
      <c r="R31" s="62"/>
      <c r="S31" s="62"/>
      <c r="T31" s="62"/>
      <c r="U31" s="62"/>
      <c r="V31" s="62"/>
      <c r="W31" s="62"/>
    </row>
    <row r="32" spans="1:41" ht="15.5" x14ac:dyDescent="0.35">
      <c r="J32" s="3" t="s">
        <v>245</v>
      </c>
      <c r="M32" s="12" t="s">
        <v>232</v>
      </c>
      <c r="N32" s="40">
        <f>(Z27-AF27+AL27)*365</f>
        <v>308.17264994999982</v>
      </c>
      <c r="O32" s="40">
        <f>(AA27-AG27+AM27)*365</f>
        <v>150150.14728198998</v>
      </c>
      <c r="P32" s="40">
        <f>(AB27-AH27+AN27)*365</f>
        <v>171289.90972350002</v>
      </c>
      <c r="Q32" s="40">
        <f>(AC27-AI27+AO27)*365</f>
        <v>319449.74065872008</v>
      </c>
      <c r="R32" s="63"/>
      <c r="S32" s="63"/>
      <c r="T32" s="63"/>
      <c r="U32" s="63"/>
      <c r="V32" s="63"/>
      <c r="W32" s="63"/>
    </row>
    <row r="33" spans="2:23" ht="15.5" x14ac:dyDescent="0.35">
      <c r="B33" s="1"/>
      <c r="C33" s="1" t="s">
        <v>22</v>
      </c>
      <c r="D33" s="1" t="s">
        <v>235</v>
      </c>
      <c r="E33" s="1"/>
      <c r="F33" s="1" t="s">
        <v>236</v>
      </c>
      <c r="G33" s="1"/>
      <c r="H33" s="1" t="s">
        <v>243</v>
      </c>
      <c r="J33" s="58" t="s">
        <v>246</v>
      </c>
      <c r="M33" s="12" t="s">
        <v>224</v>
      </c>
      <c r="N33" s="48">
        <f>Outputs!T5</f>
        <v>0.01</v>
      </c>
      <c r="O33" s="55"/>
      <c r="P33" s="55"/>
      <c r="Q33" s="55"/>
      <c r="R33" s="55"/>
      <c r="S33" s="55"/>
      <c r="T33" s="55"/>
      <c r="U33" s="55"/>
      <c r="V33" s="55"/>
      <c r="W33" s="55"/>
    </row>
    <row r="34" spans="2:23" ht="15.5" x14ac:dyDescent="0.35">
      <c r="B34" s="1" t="s">
        <v>228</v>
      </c>
      <c r="C34" s="1">
        <f>D34*'Conversion Technologies'!$I$2*10^-3</f>
        <v>5.5</v>
      </c>
      <c r="D34" s="57">
        <v>11</v>
      </c>
      <c r="E34" s="1"/>
      <c r="F34" s="6">
        <f>D34*'Conversion Technologies'!$I$3</f>
        <v>27.5</v>
      </c>
      <c r="G34" s="6" t="s">
        <v>244</v>
      </c>
      <c r="H34" s="6">
        <f>(Inputs!H47/100)*Services!D43</f>
        <v>32</v>
      </c>
      <c r="M34" s="12" t="s">
        <v>248</v>
      </c>
      <c r="N34" s="47">
        <f>Outputs!R5</f>
        <v>20</v>
      </c>
      <c r="O34" s="55"/>
      <c r="P34" s="55"/>
      <c r="Q34" s="55"/>
      <c r="R34" s="55"/>
      <c r="S34" s="55"/>
      <c r="T34" s="55"/>
      <c r="U34" s="55"/>
      <c r="V34" s="55"/>
      <c r="W34" s="55"/>
    </row>
    <row r="35" spans="2:23" ht="15.5" x14ac:dyDescent="0.35">
      <c r="B35" s="1" t="s">
        <v>229</v>
      </c>
      <c r="C35" s="1">
        <f>D35*'Conversion Technologies'!$I$2*10^-3</f>
        <v>1729</v>
      </c>
      <c r="D35" s="57">
        <v>3458</v>
      </c>
      <c r="E35" s="1"/>
      <c r="F35" s="6">
        <f>D35*'Conversion Technologies'!$I$3</f>
        <v>8645</v>
      </c>
      <c r="G35" s="1"/>
      <c r="H35" s="1"/>
      <c r="M35" s="12" t="s">
        <v>205</v>
      </c>
      <c r="N35" s="41">
        <f>N32*((1-(1+$N$33)^-$N$34)/$N$33)-N31</f>
        <v>611.14587742864751</v>
      </c>
      <c r="O35" s="41">
        <f>O32*((1-(1+$N$33)^-$N$34)/$N$33)-O31</f>
        <v>1153442.4356704606</v>
      </c>
      <c r="P35" s="41">
        <f>P32*((1-(1+$N$33)^-$N$34)/$N$33)-P31</f>
        <v>1527271.1385031049</v>
      </c>
      <c r="Q35" s="59">
        <f>Q32*((1-(1+$N$33)^-$N$34)/$N$33)-Q31</f>
        <v>2639847.2151182955</v>
      </c>
      <c r="R35" s="64"/>
      <c r="S35" s="64"/>
      <c r="T35" s="64"/>
      <c r="U35" s="64"/>
      <c r="V35" s="64"/>
      <c r="W35" s="64"/>
    </row>
    <row r="36" spans="2:23" x14ac:dyDescent="0.35">
      <c r="B36" s="1" t="s">
        <v>230</v>
      </c>
      <c r="C36" s="1">
        <f>D36*'Conversion Technologies'!$I$2*10^-3</f>
        <v>1737.5</v>
      </c>
      <c r="D36" s="57">
        <v>3475</v>
      </c>
      <c r="E36" s="1"/>
      <c r="F36" s="78">
        <f>D36*'Conversion Technologies'!$I$3</f>
        <v>8687.5</v>
      </c>
      <c r="G36" s="1"/>
      <c r="H36" s="1"/>
    </row>
  </sheetData>
  <scenarios current="0">
    <scenario name="1st try" count="3" user="pedro miguel manuel" comment="Created by pedro miguel manuel on 10/30/2023">
      <inputCells r="D34" val="40"/>
      <inputCells r="D35" val="314979969.83452"/>
      <inputCells r="D36" val="2147483688"/>
    </scenario>
  </scenarios>
  <mergeCells count="8">
    <mergeCell ref="AK1:AO1"/>
    <mergeCell ref="Y1:AC1"/>
    <mergeCell ref="B30:E30"/>
    <mergeCell ref="A1:E1"/>
    <mergeCell ref="G1:K1"/>
    <mergeCell ref="M1:Q1"/>
    <mergeCell ref="AE1:AI1"/>
    <mergeCell ref="S1:W1"/>
  </mergeCells>
  <pageMargins left="0.7" right="0.7" top="0.75" bottom="0.75" header="0.3" footer="0.3"/>
  <ignoredErrors>
    <ignoredError sqref="K3:K27 Q3:Q27 AI27 AO3:AO27 AC3:AC27 W3:W27" calculatedColumn="1"/>
  </ignoredErrors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B6AB3-93F1-4F02-A7EB-FB4EAD4C5E5B}">
  <sheetPr codeName="Sheet14"/>
  <dimension ref="A1:AO43"/>
  <sheetViews>
    <sheetView tabSelected="1" topLeftCell="A15" zoomScale="60" zoomScaleNormal="60" workbookViewId="0">
      <selection activeCell="N41" sqref="N41"/>
    </sheetView>
  </sheetViews>
  <sheetFormatPr defaultRowHeight="14.5" x14ac:dyDescent="0.35"/>
  <cols>
    <col min="1" max="1" width="10.81640625" customWidth="1"/>
    <col min="2" max="2" width="14" customWidth="1"/>
    <col min="3" max="3" width="13.1796875" customWidth="1"/>
    <col min="4" max="4" width="14.1796875" customWidth="1"/>
    <col min="5" max="5" width="17.36328125" customWidth="1"/>
    <col min="7" max="7" width="9.81640625" customWidth="1"/>
    <col min="8" max="8" width="14.1796875" customWidth="1"/>
    <col min="9" max="9" width="13.36328125" customWidth="1"/>
    <col min="10" max="10" width="16.81640625" customWidth="1"/>
    <col min="11" max="11" width="16" customWidth="1"/>
    <col min="13" max="13" width="18.36328125" customWidth="1"/>
    <col min="14" max="14" width="14.26953125" customWidth="1"/>
    <col min="15" max="15" width="13.54296875" customWidth="1"/>
    <col min="16" max="16" width="13.26953125" customWidth="1"/>
    <col min="17" max="17" width="16.1796875" customWidth="1"/>
    <col min="19" max="19" width="10.08984375" customWidth="1"/>
    <col min="20" max="20" width="14.90625" customWidth="1"/>
    <col min="21" max="22" width="13.26953125" customWidth="1"/>
    <col min="23" max="23" width="16" customWidth="1"/>
    <col min="25" max="25" width="11.7265625" customWidth="1"/>
    <col min="26" max="26" width="13.90625" customWidth="1"/>
    <col min="27" max="27" width="14" customWidth="1"/>
    <col min="28" max="28" width="13.26953125" customWidth="1"/>
    <col min="29" max="29" width="15.54296875" customWidth="1"/>
    <col min="31" max="31" width="10.26953125" customWidth="1"/>
    <col min="32" max="32" width="13.90625" customWidth="1"/>
    <col min="33" max="33" width="13" customWidth="1"/>
    <col min="34" max="34" width="13.54296875" customWidth="1"/>
    <col min="35" max="35" width="16.453125" customWidth="1"/>
    <col min="37" max="37" width="10.36328125" customWidth="1"/>
    <col min="38" max="38" width="14.453125" customWidth="1"/>
    <col min="39" max="39" width="13.453125" customWidth="1"/>
    <col min="40" max="40" width="13.81640625" customWidth="1"/>
    <col min="41" max="41" width="15.54296875" customWidth="1"/>
  </cols>
  <sheetData>
    <row r="1" spans="1:41" ht="18.5" x14ac:dyDescent="0.45">
      <c r="A1" s="107" t="s">
        <v>173</v>
      </c>
      <c r="B1" s="107"/>
      <c r="C1" s="107"/>
      <c r="D1" s="107"/>
      <c r="E1" s="107"/>
      <c r="G1" s="106" t="s">
        <v>175</v>
      </c>
      <c r="H1" s="106"/>
      <c r="I1" s="106"/>
      <c r="J1" s="106"/>
      <c r="K1" s="106"/>
      <c r="M1" s="106" t="s">
        <v>206</v>
      </c>
      <c r="N1" s="106"/>
      <c r="O1" s="106"/>
      <c r="P1" s="106"/>
      <c r="Q1" s="106"/>
      <c r="S1" s="106" t="s">
        <v>183</v>
      </c>
      <c r="T1" s="106"/>
      <c r="U1" s="106"/>
      <c r="V1" s="106"/>
      <c r="W1" s="106"/>
      <c r="Y1" s="106" t="s">
        <v>241</v>
      </c>
      <c r="Z1" s="106"/>
      <c r="AA1" s="106"/>
      <c r="AB1" s="106"/>
      <c r="AC1" s="106"/>
      <c r="AE1" s="106" t="s">
        <v>242</v>
      </c>
      <c r="AF1" s="106"/>
      <c r="AG1" s="106"/>
      <c r="AH1" s="106"/>
      <c r="AI1" s="106"/>
      <c r="AK1" s="106" t="s">
        <v>184</v>
      </c>
      <c r="AL1" s="106"/>
      <c r="AM1" s="106"/>
      <c r="AN1" s="106"/>
      <c r="AO1" s="106"/>
    </row>
    <row r="2" spans="1:41" x14ac:dyDescent="0.35">
      <c r="A2" s="1" t="s">
        <v>3</v>
      </c>
      <c r="B2" s="1" t="s">
        <v>238</v>
      </c>
      <c r="C2" s="1" t="s">
        <v>239</v>
      </c>
      <c r="D2" s="1" t="s">
        <v>240</v>
      </c>
      <c r="E2" s="1" t="s">
        <v>8</v>
      </c>
      <c r="G2" s="24" t="s">
        <v>3</v>
      </c>
      <c r="H2" s="24" t="s">
        <v>238</v>
      </c>
      <c r="I2" s="24" t="s">
        <v>239</v>
      </c>
      <c r="J2" s="24" t="s">
        <v>240</v>
      </c>
      <c r="K2" s="24" t="s">
        <v>8</v>
      </c>
      <c r="M2" s="24" t="s">
        <v>3</v>
      </c>
      <c r="N2" s="24" t="s">
        <v>238</v>
      </c>
      <c r="O2" s="24" t="s">
        <v>239</v>
      </c>
      <c r="P2" s="24" t="s">
        <v>240</v>
      </c>
      <c r="Q2" s="24" t="s">
        <v>8</v>
      </c>
      <c r="S2" s="24" t="s">
        <v>3</v>
      </c>
      <c r="T2" s="24" t="s">
        <v>238</v>
      </c>
      <c r="U2" s="24" t="s">
        <v>239</v>
      </c>
      <c r="V2" s="24" t="s">
        <v>240</v>
      </c>
      <c r="W2" s="24" t="s">
        <v>8</v>
      </c>
      <c r="Y2" s="24" t="s">
        <v>3</v>
      </c>
      <c r="Z2" s="24" t="s">
        <v>238</v>
      </c>
      <c r="AA2" s="24" t="s">
        <v>239</v>
      </c>
      <c r="AB2" s="24" t="s">
        <v>240</v>
      </c>
      <c r="AC2" s="24" t="s">
        <v>8</v>
      </c>
      <c r="AE2" s="24" t="s">
        <v>3</v>
      </c>
      <c r="AF2" s="24" t="s">
        <v>238</v>
      </c>
      <c r="AG2" s="24" t="s">
        <v>239</v>
      </c>
      <c r="AH2" s="24" t="s">
        <v>240</v>
      </c>
      <c r="AI2" s="24" t="s">
        <v>8</v>
      </c>
      <c r="AK2" s="24" t="s">
        <v>3</v>
      </c>
      <c r="AL2" s="24" t="s">
        <v>238</v>
      </c>
      <c r="AM2" s="24" t="s">
        <v>239</v>
      </c>
      <c r="AN2" s="24" t="s">
        <v>240</v>
      </c>
      <c r="AO2" s="24" t="s">
        <v>8</v>
      </c>
    </row>
    <row r="3" spans="1:41" x14ac:dyDescent="0.35">
      <c r="A3" s="1">
        <v>0</v>
      </c>
      <c r="B3" s="24">
        <f>final_electricity__16192426[[#This Row],[ Building 1 (kWh)]]</f>
        <v>2.2950851974523809</v>
      </c>
      <c r="C3" s="24">
        <f>final_electricity__16192426[[#This Row],[Building 2 (kWh)]]</f>
        <v>126.105</v>
      </c>
      <c r="D3" s="24">
        <f>final_electricity__16192426[[#This Row],[Building 3 (kWh)]]</f>
        <v>122.83199999999999</v>
      </c>
      <c r="E3" s="24">
        <f t="shared" ref="E3:E27" si="0">SUM(B3:D3)</f>
        <v>251.23208519745239</v>
      </c>
      <c r="G3" s="29">
        <v>0</v>
      </c>
      <c r="H3" s="32">
        <f>$D$34*(final_electricity__118[[#This Row],[Generation]]*10^-3)</f>
        <v>0</v>
      </c>
      <c r="I3" s="32">
        <f>$D$35*(final_electricity__118[[#This Row],[Generation]]*10^-3)</f>
        <v>0</v>
      </c>
      <c r="J3" s="32">
        <f>$D$36*(final_electricity__118[[#This Row],[Generation]]*10^-3)</f>
        <v>0</v>
      </c>
      <c r="K3" s="32">
        <f>SUM(final_electricity__1619242630314859[[#This Row],[ B1 (kWh)]]:final_electricity__1619242630314859[[#This Row],[B3 (kWh)]])</f>
        <v>0</v>
      </c>
      <c r="M3" s="29">
        <v>0</v>
      </c>
      <c r="N3" s="24">
        <f>B3-H3</f>
        <v>2.2950851974523809</v>
      </c>
      <c r="O3" s="24">
        <f t="shared" ref="O3:Q18" si="1">C3-I3</f>
        <v>126.105</v>
      </c>
      <c r="P3" s="24">
        <f t="shared" si="1"/>
        <v>122.83199999999999</v>
      </c>
      <c r="Q3" s="24">
        <f t="shared" si="1"/>
        <v>251.23208519745239</v>
      </c>
      <c r="S3" s="29">
        <v>0</v>
      </c>
      <c r="T3" s="24">
        <f>final_electricity__1619242630314859[[#This Row],[ B1 (kWh)]]*'Conversion Technologies'!$I$8</f>
        <v>0</v>
      </c>
      <c r="U3" s="24">
        <f>final_electricity__1619242630314859[[#This Row],[B2 (kWh)]]*'Conversion Technologies'!$I$8</f>
        <v>0</v>
      </c>
      <c r="V3" s="24">
        <f>final_electricity__1619242630314859[[#This Row],[B3 (kWh)]]*'Conversion Technologies'!$I$8</f>
        <v>0</v>
      </c>
      <c r="W3" s="24">
        <f>final_electricity__1619242630314859[[#This Row],[Community]]*'Conversion Technologies'!$I$8</f>
        <v>0</v>
      </c>
      <c r="Y3" s="29">
        <v>0</v>
      </c>
      <c r="Z3" s="24">
        <f>B3*tariffs[[#This Row],[Building 1 (buy)]]</f>
        <v>0.25016428652230954</v>
      </c>
      <c r="AA3" s="24">
        <f>C3*tariffs[[#This Row],[Building 2 (buy)]]</f>
        <v>14.4642435</v>
      </c>
      <c r="AB3" s="24">
        <f>D3*tariffs[[#This Row],[Building 3 (buy)]]</f>
        <v>14.887238399999999</v>
      </c>
      <c r="AC3" s="24">
        <f>E3*tariffs[[#This Row],[Building 2 (buy)]]</f>
        <v>28.816320172147787</v>
      </c>
      <c r="AE3" s="29">
        <v>0</v>
      </c>
      <c r="AF3" s="24">
        <f>IF(N3&gt;0,N3*tariffs[[#This Row],[Building 1 (buy)]],0)</f>
        <v>0.25016428652230954</v>
      </c>
      <c r="AG3" s="24">
        <f>IF(O3&gt;0,O3*tariffs[[#This Row],[Building 2 (buy)]],0)</f>
        <v>14.4642435</v>
      </c>
      <c r="AH3" s="24">
        <f>IF(P3&gt;0,P3*tariffs[[#This Row],[Building 3 (buy)]],0)</f>
        <v>14.887238399999999</v>
      </c>
      <c r="AI3" s="24">
        <f>IF(Q3&gt;0,Q3*tariffs[[#This Row],[Building 2 (buy)]],0)</f>
        <v>28.816320172147787</v>
      </c>
      <c r="AK3" s="29">
        <v>0</v>
      </c>
      <c r="AL3" s="35">
        <f>IF(N3&lt;0,-N3*tariffs[[#This Row],[Building 1 (sell)]],0)</f>
        <v>0</v>
      </c>
      <c r="AM3" s="35">
        <f>IF(O3&lt;0,-O3*tariffs[[#This Row],[Building 2 (sell)]],0)</f>
        <v>0</v>
      </c>
      <c r="AN3" s="35">
        <f>IF(P3&lt;0,-P3*tariffs[[#This Row],[Building 3 (sell)]],0)</f>
        <v>0</v>
      </c>
      <c r="AO3" s="35">
        <f>IF(Q3&lt;0,-Q3*tariffs[[#This Row],[Building 2 (sell)]],0)</f>
        <v>0</v>
      </c>
    </row>
    <row r="4" spans="1:41" x14ac:dyDescent="0.35">
      <c r="A4" s="1">
        <v>1</v>
      </c>
      <c r="B4" s="24">
        <f>final_electricity__16192426[[#This Row],[ Building 1 (kWh)]]</f>
        <v>0.22495814460000002</v>
      </c>
      <c r="C4" s="24">
        <f>final_electricity__16192426[[#This Row],[Building 2 (kWh)]]</f>
        <v>124.566</v>
      </c>
      <c r="D4" s="24">
        <f>final_electricity__16192426[[#This Row],[Building 3 (kWh)]]</f>
        <v>121.10599999999999</v>
      </c>
      <c r="E4" s="24">
        <f t="shared" si="0"/>
        <v>245.89695814459998</v>
      </c>
      <c r="G4" s="29">
        <v>1</v>
      </c>
      <c r="H4" s="32">
        <f>$D$34*(final_electricity__118[[#This Row],[Generation]]*10^-3)</f>
        <v>0</v>
      </c>
      <c r="I4" s="32">
        <f>$D$35*(final_electricity__118[[#This Row],[Generation]]*10^-3)</f>
        <v>0</v>
      </c>
      <c r="J4" s="32">
        <f>$D$36*(final_electricity__118[[#This Row],[Generation]]*10^-3)</f>
        <v>0</v>
      </c>
      <c r="K4" s="32">
        <f>SUM(final_electricity__1619242630314859[[#This Row],[ B1 (kWh)]]:final_electricity__1619242630314859[[#This Row],[B3 (kWh)]])</f>
        <v>0</v>
      </c>
      <c r="M4" s="29">
        <v>1</v>
      </c>
      <c r="N4" s="24">
        <f t="shared" ref="N4:Q26" si="2">B4-H4</f>
        <v>0.22495814460000002</v>
      </c>
      <c r="O4" s="24">
        <f t="shared" si="1"/>
        <v>124.566</v>
      </c>
      <c r="P4" s="24">
        <f t="shared" si="1"/>
        <v>121.10599999999999</v>
      </c>
      <c r="Q4" s="24">
        <f t="shared" si="1"/>
        <v>245.89695814459998</v>
      </c>
      <c r="S4" s="29">
        <v>1</v>
      </c>
      <c r="T4" s="24">
        <f>final_electricity__1619242630314859[[#This Row],[ B1 (kWh)]]*'Conversion Technologies'!$I$8</f>
        <v>0</v>
      </c>
      <c r="U4" s="24">
        <f>final_electricity__1619242630314859[[#This Row],[B2 (kWh)]]*'Conversion Technologies'!$I$8</f>
        <v>0</v>
      </c>
      <c r="V4" s="24">
        <f>final_electricity__1619242630314859[[#This Row],[B3 (kWh)]]*'Conversion Technologies'!$I$8</f>
        <v>0</v>
      </c>
      <c r="W4" s="24">
        <f>final_electricity__1619242630314859[[#This Row],[Community]]*'Conversion Technologies'!$I$8</f>
        <v>0</v>
      </c>
      <c r="Y4" s="29">
        <v>1</v>
      </c>
      <c r="Z4" s="24">
        <f>B4*tariffs[[#This Row],[Building 1 (buy)]]</f>
        <v>2.4520437761400001E-2</v>
      </c>
      <c r="AA4" s="24">
        <f>C4*tariffs[[#This Row],[Building 2 (buy)]]</f>
        <v>14.287720199999999</v>
      </c>
      <c r="AB4" s="24">
        <f>D4*tariffs[[#This Row],[Building 3 (buy)]]</f>
        <v>14.6780472</v>
      </c>
      <c r="AC4" s="24">
        <f>E4*tariffs[[#This Row],[Building 2 (buy)]]</f>
        <v>28.204381099185618</v>
      </c>
      <c r="AE4" s="29">
        <v>1</v>
      </c>
      <c r="AF4" s="24">
        <f>IF(N4&gt;0,N4*tariffs[[#This Row],[Building 1 (buy)]],0)</f>
        <v>2.4520437761400001E-2</v>
      </c>
      <c r="AG4" s="24">
        <f>IF(O4&gt;0,O4*tariffs[[#This Row],[Building 2 (buy)]],0)</f>
        <v>14.287720199999999</v>
      </c>
      <c r="AH4" s="24">
        <f>IF(P4&gt;0,P4*tariffs[[#This Row],[Building 3 (buy)]],0)</f>
        <v>14.6780472</v>
      </c>
      <c r="AI4" s="24">
        <f>IF(Q4&gt;0,Q4*tariffs[[#This Row],[Building 2 (buy)]],0)</f>
        <v>28.204381099185618</v>
      </c>
      <c r="AK4" s="29">
        <v>1</v>
      </c>
      <c r="AL4" s="35">
        <f>IF(N4&lt;0,-N4*tariffs[[#This Row],[Building 1 (sell)]],0)</f>
        <v>0</v>
      </c>
      <c r="AM4" s="35">
        <f>IF(O4&lt;0,-O4*tariffs[[#This Row],[Building 2 (sell)]],0)</f>
        <v>0</v>
      </c>
      <c r="AN4" s="35">
        <f>IF(P4&lt;0,-P4*tariffs[[#This Row],[Building 3 (sell)]],0)</f>
        <v>0</v>
      </c>
      <c r="AO4" s="35">
        <f>IF(Q4&lt;0,-Q4*tariffs[[#This Row],[Building 2 (sell)]],0)</f>
        <v>0</v>
      </c>
    </row>
    <row r="5" spans="1:41" x14ac:dyDescent="0.35">
      <c r="A5" s="1">
        <v>2</v>
      </c>
      <c r="B5" s="24">
        <f>final_electricity__16192426[[#This Row],[ Building 1 (kWh)]]</f>
        <v>14.936496131695485</v>
      </c>
      <c r="C5" s="24">
        <f>final_electricity__16192426[[#This Row],[Building 2 (kWh)]]</f>
        <v>122.24</v>
      </c>
      <c r="D5" s="24">
        <f>final_electricity__16192426[[#This Row],[Building 3 (kWh)]]</f>
        <v>111.349</v>
      </c>
      <c r="E5" s="24">
        <f t="shared" si="0"/>
        <v>248.52549613169549</v>
      </c>
      <c r="G5" s="29">
        <v>2</v>
      </c>
      <c r="H5" s="32">
        <f>$D$34*(final_electricity__118[[#This Row],[Generation]]*10^-3)</f>
        <v>0</v>
      </c>
      <c r="I5" s="32">
        <f>$D$35*(final_electricity__118[[#This Row],[Generation]]*10^-3)</f>
        <v>0</v>
      </c>
      <c r="J5" s="32">
        <f>$D$36*(final_electricity__118[[#This Row],[Generation]]*10^-3)</f>
        <v>0</v>
      </c>
      <c r="K5" s="32">
        <f>SUM(final_electricity__1619242630314859[[#This Row],[ B1 (kWh)]]:final_electricity__1619242630314859[[#This Row],[B3 (kWh)]])</f>
        <v>0</v>
      </c>
      <c r="M5" s="29">
        <v>2</v>
      </c>
      <c r="N5" s="24">
        <f t="shared" si="2"/>
        <v>14.936496131695485</v>
      </c>
      <c r="O5" s="24">
        <f t="shared" si="1"/>
        <v>122.24</v>
      </c>
      <c r="P5" s="24">
        <f t="shared" si="1"/>
        <v>111.349</v>
      </c>
      <c r="Q5" s="24">
        <f t="shared" si="1"/>
        <v>248.52549613169549</v>
      </c>
      <c r="S5" s="29">
        <v>2</v>
      </c>
      <c r="T5" s="24">
        <f>final_electricity__1619242630314859[[#This Row],[ B1 (kWh)]]*'Conversion Technologies'!$I$8</f>
        <v>0</v>
      </c>
      <c r="U5" s="24">
        <f>final_electricity__1619242630314859[[#This Row],[B2 (kWh)]]*'Conversion Technologies'!$I$8</f>
        <v>0</v>
      </c>
      <c r="V5" s="24">
        <f>final_electricity__1619242630314859[[#This Row],[B3 (kWh)]]*'Conversion Technologies'!$I$8</f>
        <v>0</v>
      </c>
      <c r="W5" s="24">
        <f>final_electricity__1619242630314859[[#This Row],[Community]]*'Conversion Technologies'!$I$8</f>
        <v>0</v>
      </c>
      <c r="Y5" s="29">
        <v>2</v>
      </c>
      <c r="Z5" s="24">
        <f>B5*tariffs[[#This Row],[Building 1 (buy)]]</f>
        <v>1.6280780783548079</v>
      </c>
      <c r="AA5" s="24">
        <f>C5*tariffs[[#This Row],[Building 2 (buy)]]</f>
        <v>11.0016</v>
      </c>
      <c r="AB5" s="24">
        <f>D5*tariffs[[#This Row],[Building 3 (buy)]]</f>
        <v>11.8920732</v>
      </c>
      <c r="AC5" s="24">
        <f>E5*tariffs[[#This Row],[Building 2 (buy)]]</f>
        <v>22.367294651852593</v>
      </c>
      <c r="AE5" s="29">
        <v>2</v>
      </c>
      <c r="AF5" s="24">
        <f>IF(N5&gt;0,N5*tariffs[[#This Row],[Building 1 (buy)]],0)</f>
        <v>1.6280780783548079</v>
      </c>
      <c r="AG5" s="24">
        <f>IF(O5&gt;0,O5*tariffs[[#This Row],[Building 2 (buy)]],0)</f>
        <v>11.0016</v>
      </c>
      <c r="AH5" s="24">
        <f>IF(P5&gt;0,P5*tariffs[[#This Row],[Building 3 (buy)]],0)</f>
        <v>11.8920732</v>
      </c>
      <c r="AI5" s="24">
        <f>IF(Q5&gt;0,Q5*tariffs[[#This Row],[Building 2 (buy)]],0)</f>
        <v>22.367294651852593</v>
      </c>
      <c r="AK5" s="29">
        <v>2</v>
      </c>
      <c r="AL5" s="35">
        <f>IF(N5&lt;0,-N5*tariffs[[#This Row],[Building 1 (sell)]],0)</f>
        <v>0</v>
      </c>
      <c r="AM5" s="35">
        <f>IF(O5&lt;0,-O5*tariffs[[#This Row],[Building 2 (sell)]],0)</f>
        <v>0</v>
      </c>
      <c r="AN5" s="35">
        <f>IF(P5&lt;0,-P5*tariffs[[#This Row],[Building 3 (sell)]],0)</f>
        <v>0</v>
      </c>
      <c r="AO5" s="35">
        <f>IF(Q5&lt;0,-Q5*tariffs[[#This Row],[Building 2 (sell)]],0)</f>
        <v>0</v>
      </c>
    </row>
    <row r="6" spans="1:41" x14ac:dyDescent="0.35">
      <c r="A6" s="1">
        <v>3</v>
      </c>
      <c r="B6" s="24">
        <f>final_electricity__16192426[[#This Row],[ Building 1 (kWh)]]</f>
        <v>0.21985899380000001</v>
      </c>
      <c r="C6" s="24">
        <f>final_electricity__16192426[[#This Row],[Building 2 (kWh)]]</f>
        <v>119.33199999999999</v>
      </c>
      <c r="D6" s="24">
        <f>final_electricity__16192426[[#This Row],[Building 3 (kWh)]]</f>
        <v>108.373</v>
      </c>
      <c r="E6" s="24">
        <f t="shared" si="0"/>
        <v>227.9248589938</v>
      </c>
      <c r="G6" s="29">
        <v>3</v>
      </c>
      <c r="H6" s="32">
        <f>$D$34*(final_electricity__118[[#This Row],[Generation]]*10^-3)</f>
        <v>0</v>
      </c>
      <c r="I6" s="32">
        <f>$D$35*(final_electricity__118[[#This Row],[Generation]]*10^-3)</f>
        <v>0</v>
      </c>
      <c r="J6" s="32">
        <f>$D$36*(final_electricity__118[[#This Row],[Generation]]*10^-3)</f>
        <v>0</v>
      </c>
      <c r="K6" s="32">
        <f>SUM(final_electricity__1619242630314859[[#This Row],[ B1 (kWh)]]:final_electricity__1619242630314859[[#This Row],[B3 (kWh)]])</f>
        <v>0</v>
      </c>
      <c r="M6" s="29">
        <v>3</v>
      </c>
      <c r="N6" s="24">
        <f t="shared" si="2"/>
        <v>0.21985899380000001</v>
      </c>
      <c r="O6" s="24">
        <f t="shared" si="1"/>
        <v>119.33199999999999</v>
      </c>
      <c r="P6" s="24">
        <f t="shared" si="1"/>
        <v>108.373</v>
      </c>
      <c r="Q6" s="24">
        <f t="shared" si="1"/>
        <v>227.9248589938</v>
      </c>
      <c r="S6" s="29">
        <v>3</v>
      </c>
      <c r="T6" s="24">
        <f>final_electricity__1619242630314859[[#This Row],[ B1 (kWh)]]*'Conversion Technologies'!$I$8</f>
        <v>0</v>
      </c>
      <c r="U6" s="24">
        <f>final_electricity__1619242630314859[[#This Row],[B2 (kWh)]]*'Conversion Technologies'!$I$8</f>
        <v>0</v>
      </c>
      <c r="V6" s="24">
        <f>final_electricity__1619242630314859[[#This Row],[B3 (kWh)]]*'Conversion Technologies'!$I$8</f>
        <v>0</v>
      </c>
      <c r="W6" s="24">
        <f>final_electricity__1619242630314859[[#This Row],[Community]]*'Conversion Technologies'!$I$8</f>
        <v>0</v>
      </c>
      <c r="Y6" s="29">
        <v>3</v>
      </c>
      <c r="Z6" s="24">
        <f>B6*tariffs[[#This Row],[Building 1 (buy)]]</f>
        <v>2.3964630324200001E-2</v>
      </c>
      <c r="AA6" s="24">
        <f>C6*tariffs[[#This Row],[Building 2 (buy)]]</f>
        <v>10.739879999999999</v>
      </c>
      <c r="AB6" s="24">
        <f>D6*tariffs[[#This Row],[Building 3 (buy)]]</f>
        <v>11.574236400000002</v>
      </c>
      <c r="AC6" s="24">
        <f>E6*tariffs[[#This Row],[Building 2 (buy)]]</f>
        <v>20.513237309442001</v>
      </c>
      <c r="AE6" s="29">
        <v>3</v>
      </c>
      <c r="AF6" s="24">
        <f>IF(N6&gt;0,N6*tariffs[[#This Row],[Building 1 (buy)]],0)</f>
        <v>2.3964630324200001E-2</v>
      </c>
      <c r="AG6" s="24">
        <f>IF(O6&gt;0,O6*tariffs[[#This Row],[Building 2 (buy)]],0)</f>
        <v>10.739879999999999</v>
      </c>
      <c r="AH6" s="24">
        <f>IF(P6&gt;0,P6*tariffs[[#This Row],[Building 3 (buy)]],0)</f>
        <v>11.574236400000002</v>
      </c>
      <c r="AI6" s="24">
        <f>IF(Q6&gt;0,Q6*tariffs[[#This Row],[Building 2 (buy)]],0)</f>
        <v>20.513237309442001</v>
      </c>
      <c r="AK6" s="29">
        <v>3</v>
      </c>
      <c r="AL6" s="35">
        <f>IF(N6&lt;0,-N6*tariffs[[#This Row],[Building 1 (sell)]],0)</f>
        <v>0</v>
      </c>
      <c r="AM6" s="35">
        <f>IF(O6&lt;0,-O6*tariffs[[#This Row],[Building 2 (sell)]],0)</f>
        <v>0</v>
      </c>
      <c r="AN6" s="35">
        <f>IF(P6&lt;0,-P6*tariffs[[#This Row],[Building 3 (sell)]],0)</f>
        <v>0</v>
      </c>
      <c r="AO6" s="35">
        <f>IF(Q6&lt;0,-Q6*tariffs[[#This Row],[Building 2 (sell)]],0)</f>
        <v>0</v>
      </c>
    </row>
    <row r="7" spans="1:41" x14ac:dyDescent="0.35">
      <c r="A7" s="1">
        <v>4</v>
      </c>
      <c r="B7" s="24">
        <f>final_electricity__16192426[[#This Row],[ Building 1 (kWh)]]</f>
        <v>0.24080941840000006</v>
      </c>
      <c r="C7" s="24">
        <f>final_electricity__16192426[[#This Row],[Building 2 (kWh)]]</f>
        <v>118.456</v>
      </c>
      <c r="D7" s="24">
        <f>final_electricity__16192426[[#This Row],[Building 3 (kWh)]]</f>
        <v>111.221</v>
      </c>
      <c r="E7" s="24">
        <f t="shared" si="0"/>
        <v>229.9178094184</v>
      </c>
      <c r="G7" s="29">
        <v>4</v>
      </c>
      <c r="H7" s="32">
        <f>$D$34*(final_electricity__118[[#This Row],[Generation]]*10^-3)</f>
        <v>0</v>
      </c>
      <c r="I7" s="32">
        <f>$D$35*(final_electricity__118[[#This Row],[Generation]]*10^-3)</f>
        <v>0</v>
      </c>
      <c r="J7" s="32">
        <f>$D$36*(final_electricity__118[[#This Row],[Generation]]*10^-3)</f>
        <v>0</v>
      </c>
      <c r="K7" s="32">
        <f>SUM(final_electricity__1619242630314859[[#This Row],[ B1 (kWh)]]:final_electricity__1619242630314859[[#This Row],[B3 (kWh)]])</f>
        <v>0</v>
      </c>
      <c r="M7" s="29">
        <v>4</v>
      </c>
      <c r="N7" s="24">
        <f t="shared" si="2"/>
        <v>0.24080941840000006</v>
      </c>
      <c r="O7" s="24">
        <f t="shared" si="1"/>
        <v>118.456</v>
      </c>
      <c r="P7" s="24">
        <f t="shared" si="1"/>
        <v>111.221</v>
      </c>
      <c r="Q7" s="24">
        <f t="shared" si="1"/>
        <v>229.9178094184</v>
      </c>
      <c r="S7" s="29">
        <v>4</v>
      </c>
      <c r="T7" s="24">
        <f>final_electricity__1619242630314859[[#This Row],[ B1 (kWh)]]*'Conversion Technologies'!$I$8</f>
        <v>0</v>
      </c>
      <c r="U7" s="24">
        <f>final_electricity__1619242630314859[[#This Row],[B2 (kWh)]]*'Conversion Technologies'!$I$8</f>
        <v>0</v>
      </c>
      <c r="V7" s="24">
        <f>final_electricity__1619242630314859[[#This Row],[B3 (kWh)]]*'Conversion Technologies'!$I$8</f>
        <v>0</v>
      </c>
      <c r="W7" s="24">
        <f>final_electricity__1619242630314859[[#This Row],[Community]]*'Conversion Technologies'!$I$8</f>
        <v>0</v>
      </c>
      <c r="Y7" s="29">
        <v>4</v>
      </c>
      <c r="Z7" s="24">
        <f>B7*tariffs[[#This Row],[Building 1 (buy)]]</f>
        <v>2.6248226605600007E-2</v>
      </c>
      <c r="AA7" s="24">
        <f>C7*tariffs[[#This Row],[Building 2 (buy)]]</f>
        <v>10.66104</v>
      </c>
      <c r="AB7" s="24">
        <f>D7*tariffs[[#This Row],[Building 3 (buy)]]</f>
        <v>11.878402800000002</v>
      </c>
      <c r="AC7" s="24">
        <f>E7*tariffs[[#This Row],[Building 2 (buy)]]</f>
        <v>20.692602847655998</v>
      </c>
      <c r="AE7" s="29">
        <v>4</v>
      </c>
      <c r="AF7" s="24">
        <f>IF(N7&gt;0,N7*tariffs[[#This Row],[Building 1 (buy)]],0)</f>
        <v>2.6248226605600007E-2</v>
      </c>
      <c r="AG7" s="24">
        <f>IF(O7&gt;0,O7*tariffs[[#This Row],[Building 2 (buy)]],0)</f>
        <v>10.66104</v>
      </c>
      <c r="AH7" s="24">
        <f>IF(P7&gt;0,P7*tariffs[[#This Row],[Building 3 (buy)]],0)</f>
        <v>11.878402800000002</v>
      </c>
      <c r="AI7" s="24">
        <f>IF(Q7&gt;0,Q7*tariffs[[#This Row],[Building 2 (buy)]],0)</f>
        <v>20.692602847655998</v>
      </c>
      <c r="AK7" s="29">
        <v>4</v>
      </c>
      <c r="AL7" s="35">
        <f>IF(N7&lt;0,-N7*tariffs[[#This Row],[Building 1 (sell)]],0)</f>
        <v>0</v>
      </c>
      <c r="AM7" s="35">
        <f>IF(O7&lt;0,-O7*tariffs[[#This Row],[Building 2 (sell)]],0)</f>
        <v>0</v>
      </c>
      <c r="AN7" s="35">
        <f>IF(P7&lt;0,-P7*tariffs[[#This Row],[Building 3 (sell)]],0)</f>
        <v>0</v>
      </c>
      <c r="AO7" s="35">
        <f>IF(Q7&lt;0,-Q7*tariffs[[#This Row],[Building 2 (sell)]],0)</f>
        <v>0</v>
      </c>
    </row>
    <row r="8" spans="1:41" x14ac:dyDescent="0.35">
      <c r="A8" s="1">
        <v>5</v>
      </c>
      <c r="B8" s="24">
        <f>final_electricity__16192426[[#This Row],[ Building 1 (kWh)]]</f>
        <v>0.26540972719999995</v>
      </c>
      <c r="C8" s="24">
        <f>final_electricity__16192426[[#This Row],[Building 2 (kWh)]]</f>
        <v>123.203</v>
      </c>
      <c r="D8" s="24">
        <f>final_electricity__16192426[[#This Row],[Building 3 (kWh)]]</f>
        <v>124.458</v>
      </c>
      <c r="E8" s="24">
        <f t="shared" si="0"/>
        <v>247.9264097272</v>
      </c>
      <c r="G8" s="29">
        <v>5</v>
      </c>
      <c r="H8" s="32">
        <f>$D$34*(final_electricity__118[[#This Row],[Generation]]*10^-3)</f>
        <v>0</v>
      </c>
      <c r="I8" s="32">
        <f>$D$35*(final_electricity__118[[#This Row],[Generation]]*10^-3)</f>
        <v>0</v>
      </c>
      <c r="J8" s="32">
        <f>$D$36*(final_electricity__118[[#This Row],[Generation]]*10^-3)</f>
        <v>0</v>
      </c>
      <c r="K8" s="32">
        <f>SUM(final_electricity__1619242630314859[[#This Row],[ B1 (kWh)]]:final_electricity__1619242630314859[[#This Row],[B3 (kWh)]])</f>
        <v>0</v>
      </c>
      <c r="M8" s="29">
        <v>5</v>
      </c>
      <c r="N8" s="24">
        <f t="shared" si="2"/>
        <v>0.26540972719999995</v>
      </c>
      <c r="O8" s="24">
        <f t="shared" si="1"/>
        <v>123.203</v>
      </c>
      <c r="P8" s="24">
        <f t="shared" si="1"/>
        <v>124.458</v>
      </c>
      <c r="Q8" s="24">
        <f t="shared" si="1"/>
        <v>247.9264097272</v>
      </c>
      <c r="S8" s="29">
        <v>5</v>
      </c>
      <c r="T8" s="24">
        <f>final_electricity__1619242630314859[[#This Row],[ B1 (kWh)]]*'Conversion Technologies'!$I$8</f>
        <v>0</v>
      </c>
      <c r="U8" s="24">
        <f>final_electricity__1619242630314859[[#This Row],[B2 (kWh)]]*'Conversion Technologies'!$I$8</f>
        <v>0</v>
      </c>
      <c r="V8" s="24">
        <f>final_electricity__1619242630314859[[#This Row],[B3 (kWh)]]*'Conversion Technologies'!$I$8</f>
        <v>0</v>
      </c>
      <c r="W8" s="24">
        <f>final_electricity__1619242630314859[[#This Row],[Community]]*'Conversion Technologies'!$I$8</f>
        <v>0</v>
      </c>
      <c r="Y8" s="29">
        <v>5</v>
      </c>
      <c r="Z8" s="24">
        <f>B8*tariffs[[#This Row],[Building 1 (buy)]]</f>
        <v>2.8929660264799994E-2</v>
      </c>
      <c r="AA8" s="24">
        <f>C8*tariffs[[#This Row],[Building 2 (buy)]]</f>
        <v>11.08827</v>
      </c>
      <c r="AB8" s="24">
        <f>D8*tariffs[[#This Row],[Building 3 (buy)]]</f>
        <v>13.292114400000001</v>
      </c>
      <c r="AC8" s="24">
        <f>E8*tariffs[[#This Row],[Building 2 (buy)]]</f>
        <v>22.313376875448</v>
      </c>
      <c r="AE8" s="29">
        <v>5</v>
      </c>
      <c r="AF8" s="24">
        <f>IF(N8&gt;0,N8*tariffs[[#This Row],[Building 1 (buy)]],0)</f>
        <v>2.8929660264799994E-2</v>
      </c>
      <c r="AG8" s="24">
        <f>IF(O8&gt;0,O8*tariffs[[#This Row],[Building 2 (buy)]],0)</f>
        <v>11.08827</v>
      </c>
      <c r="AH8" s="24">
        <f>IF(P8&gt;0,P8*tariffs[[#This Row],[Building 3 (buy)]],0)</f>
        <v>13.292114400000001</v>
      </c>
      <c r="AI8" s="24">
        <f>IF(Q8&gt;0,Q8*tariffs[[#This Row],[Building 2 (buy)]],0)</f>
        <v>22.313376875448</v>
      </c>
      <c r="AK8" s="29">
        <v>5</v>
      </c>
      <c r="AL8" s="35">
        <f>IF(N8&lt;0,-N8*tariffs[[#This Row],[Building 1 (sell)]],0)</f>
        <v>0</v>
      </c>
      <c r="AM8" s="35">
        <f>IF(O8&lt;0,-O8*tariffs[[#This Row],[Building 2 (sell)]],0)</f>
        <v>0</v>
      </c>
      <c r="AN8" s="35">
        <f>IF(P8&lt;0,-P8*tariffs[[#This Row],[Building 3 (sell)]],0)</f>
        <v>0</v>
      </c>
      <c r="AO8" s="35">
        <f>IF(Q8&lt;0,-Q8*tariffs[[#This Row],[Building 2 (sell)]],0)</f>
        <v>0</v>
      </c>
    </row>
    <row r="9" spans="1:41" x14ac:dyDescent="0.35">
      <c r="A9" s="1">
        <v>6</v>
      </c>
      <c r="B9" s="24">
        <f>final_electricity__16192426[[#This Row],[ Building 1 (kWh)]]</f>
        <v>0.26401003599999995</v>
      </c>
      <c r="C9" s="24">
        <f>final_electricity__16192426[[#This Row],[Building 2 (kWh)]]</f>
        <v>128.864</v>
      </c>
      <c r="D9" s="24">
        <f>final_electricity__16192426[[#This Row],[Building 3 (kWh)]]</f>
        <v>135.33600000000001</v>
      </c>
      <c r="E9" s="24">
        <f t="shared" si="0"/>
        <v>264.46401003599999</v>
      </c>
      <c r="G9" s="29">
        <v>6</v>
      </c>
      <c r="H9" s="32">
        <f>$D$34*(final_electricity__118[[#This Row],[Generation]]*10^-3)</f>
        <v>0</v>
      </c>
      <c r="I9" s="32">
        <f>$D$35*(final_electricity__118[[#This Row],[Generation]]*10^-3)</f>
        <v>0</v>
      </c>
      <c r="J9" s="32">
        <f>$D$36*(final_electricity__118[[#This Row],[Generation]]*10^-3)</f>
        <v>0</v>
      </c>
      <c r="K9" s="32">
        <f>SUM(final_electricity__1619242630314859[[#This Row],[ B1 (kWh)]]:final_electricity__1619242630314859[[#This Row],[B3 (kWh)]])</f>
        <v>0</v>
      </c>
      <c r="M9" s="29">
        <v>6</v>
      </c>
      <c r="N9" s="24">
        <f t="shared" si="2"/>
        <v>0.26401003599999995</v>
      </c>
      <c r="O9" s="24">
        <f t="shared" si="1"/>
        <v>128.864</v>
      </c>
      <c r="P9" s="24">
        <f t="shared" si="1"/>
        <v>135.33600000000001</v>
      </c>
      <c r="Q9" s="24">
        <f t="shared" si="1"/>
        <v>264.46401003599999</v>
      </c>
      <c r="S9" s="29">
        <v>6</v>
      </c>
      <c r="T9" s="24">
        <f>final_electricity__1619242630314859[[#This Row],[ B1 (kWh)]]*'Conversion Technologies'!$I$8</f>
        <v>0</v>
      </c>
      <c r="U9" s="24">
        <f>final_electricity__1619242630314859[[#This Row],[B2 (kWh)]]*'Conversion Technologies'!$I$8</f>
        <v>0</v>
      </c>
      <c r="V9" s="24">
        <f>final_electricity__1619242630314859[[#This Row],[B3 (kWh)]]*'Conversion Technologies'!$I$8</f>
        <v>0</v>
      </c>
      <c r="W9" s="24">
        <f>final_electricity__1619242630314859[[#This Row],[Community]]*'Conversion Technologies'!$I$8</f>
        <v>0</v>
      </c>
      <c r="Y9" s="29">
        <v>6</v>
      </c>
      <c r="Z9" s="24">
        <f>B9*tariffs[[#This Row],[Building 1 (buy)]]</f>
        <v>2.8777093923999995E-2</v>
      </c>
      <c r="AA9" s="24">
        <f>C9*tariffs[[#This Row],[Building 2 (buy)]]</f>
        <v>14.7807008</v>
      </c>
      <c r="AB9" s="24">
        <f>D9*tariffs[[#This Row],[Building 3 (buy)]]</f>
        <v>17.756083200000003</v>
      </c>
      <c r="AC9" s="24">
        <f>E9*tariffs[[#This Row],[Building 2 (buy)]]</f>
        <v>30.334021951129198</v>
      </c>
      <c r="AE9" s="29">
        <v>6</v>
      </c>
      <c r="AF9" s="24">
        <f>IF(N9&gt;0,N9*tariffs[[#This Row],[Building 1 (buy)]],0)</f>
        <v>2.8777093923999995E-2</v>
      </c>
      <c r="AG9" s="24">
        <f>IF(O9&gt;0,O9*tariffs[[#This Row],[Building 2 (buy)]],0)</f>
        <v>14.7807008</v>
      </c>
      <c r="AH9" s="24">
        <f>IF(P9&gt;0,P9*tariffs[[#This Row],[Building 3 (buy)]],0)</f>
        <v>17.756083200000003</v>
      </c>
      <c r="AI9" s="24">
        <f>IF(Q9&gt;0,Q9*tariffs[[#This Row],[Building 2 (buy)]],0)</f>
        <v>30.334021951129198</v>
      </c>
      <c r="AK9" s="29">
        <v>6</v>
      </c>
      <c r="AL9" s="35">
        <f>IF(N9&lt;0,-N9*tariffs[[#This Row],[Building 1 (sell)]],0)</f>
        <v>0</v>
      </c>
      <c r="AM9" s="35">
        <f>IF(O9&lt;0,-O9*tariffs[[#This Row],[Building 2 (sell)]],0)</f>
        <v>0</v>
      </c>
      <c r="AN9" s="35">
        <f>IF(P9&lt;0,-P9*tariffs[[#This Row],[Building 3 (sell)]],0)</f>
        <v>0</v>
      </c>
      <c r="AO9" s="35">
        <f>IF(Q9&lt;0,-Q9*tariffs[[#This Row],[Building 2 (sell)]],0)</f>
        <v>0</v>
      </c>
    </row>
    <row r="10" spans="1:41" x14ac:dyDescent="0.35">
      <c r="A10" s="1">
        <v>7</v>
      </c>
      <c r="B10" s="24">
        <f>final_electricity__16192426[[#This Row],[ Building 1 (kWh)]]</f>
        <v>0.53633536409999993</v>
      </c>
      <c r="C10" s="24">
        <f>final_electricity__16192426[[#This Row],[Building 2 (kWh)]]</f>
        <v>156.93</v>
      </c>
      <c r="D10" s="24">
        <f>final_electricity__16192426[[#This Row],[Building 3 (kWh)]]</f>
        <v>205.28700000000001</v>
      </c>
      <c r="E10" s="24">
        <f t="shared" si="0"/>
        <v>362.75333536410005</v>
      </c>
      <c r="G10" s="29">
        <v>7</v>
      </c>
      <c r="H10" s="32">
        <f>$D$34*(final_electricity__118[[#This Row],[Generation]]*10^-3)</f>
        <v>0</v>
      </c>
      <c r="I10" s="32">
        <f>$D$35*(final_electricity__118[[#This Row],[Generation]]*10^-3)</f>
        <v>0</v>
      </c>
      <c r="J10" s="32">
        <f>$D$36*(final_electricity__118[[#This Row],[Generation]]*10^-3)</f>
        <v>0</v>
      </c>
      <c r="K10" s="32">
        <f>SUM(final_electricity__1619242630314859[[#This Row],[ B1 (kWh)]]:final_electricity__1619242630314859[[#This Row],[B3 (kWh)]])</f>
        <v>0</v>
      </c>
      <c r="M10" s="29">
        <v>7</v>
      </c>
      <c r="N10" s="24">
        <f t="shared" si="2"/>
        <v>0.53633536409999993</v>
      </c>
      <c r="O10" s="24">
        <f t="shared" si="1"/>
        <v>156.93</v>
      </c>
      <c r="P10" s="24">
        <f t="shared" si="1"/>
        <v>205.28700000000001</v>
      </c>
      <c r="Q10" s="24">
        <f t="shared" si="1"/>
        <v>362.75333536410005</v>
      </c>
      <c r="S10" s="29">
        <v>7</v>
      </c>
      <c r="T10" s="24">
        <f>final_electricity__1619242630314859[[#This Row],[ B1 (kWh)]]*'Conversion Technologies'!$I$8</f>
        <v>0</v>
      </c>
      <c r="U10" s="24">
        <f>final_electricity__1619242630314859[[#This Row],[B2 (kWh)]]*'Conversion Technologies'!$I$8</f>
        <v>0</v>
      </c>
      <c r="V10" s="24">
        <f>final_electricity__1619242630314859[[#This Row],[B3 (kWh)]]*'Conversion Technologies'!$I$8</f>
        <v>0</v>
      </c>
      <c r="W10" s="24">
        <f>final_electricity__1619242630314859[[#This Row],[Community]]*'Conversion Technologies'!$I$8</f>
        <v>0</v>
      </c>
      <c r="Y10" s="29">
        <v>7</v>
      </c>
      <c r="Z10" s="24">
        <f>B10*tariffs[[#This Row],[Building 1 (buy)]]</f>
        <v>0.10490719721795999</v>
      </c>
      <c r="AA10" s="24">
        <f>C10*tariffs[[#This Row],[Building 2 (buy)]]</f>
        <v>24.622317000000002</v>
      </c>
      <c r="AB10" s="24">
        <f>D10*tariffs[[#This Row],[Building 3 (buy)]]</f>
        <v>34.365043800000002</v>
      </c>
      <c r="AC10" s="24">
        <f>E10*tariffs[[#This Row],[Building 2 (buy)]]</f>
        <v>56.915998318627302</v>
      </c>
      <c r="AE10" s="29">
        <v>7</v>
      </c>
      <c r="AF10" s="24">
        <f>IF(N10&gt;0,N10*tariffs[[#This Row],[Building 1 (buy)]],0)</f>
        <v>0.10490719721795999</v>
      </c>
      <c r="AG10" s="24">
        <f>IF(O10&gt;0,O10*tariffs[[#This Row],[Building 2 (buy)]],0)</f>
        <v>24.622317000000002</v>
      </c>
      <c r="AH10" s="24">
        <f>IF(P10&gt;0,P10*tariffs[[#This Row],[Building 3 (buy)]],0)</f>
        <v>34.365043800000002</v>
      </c>
      <c r="AI10" s="24">
        <f>IF(Q10&gt;0,Q10*tariffs[[#This Row],[Building 2 (buy)]],0)</f>
        <v>56.915998318627302</v>
      </c>
      <c r="AK10" s="29">
        <v>7</v>
      </c>
      <c r="AL10" s="35">
        <f>IF(N10&lt;0,-N10*tariffs[[#This Row],[Building 1 (sell)]],0)</f>
        <v>0</v>
      </c>
      <c r="AM10" s="35">
        <f>IF(O10&lt;0,-O10*tariffs[[#This Row],[Building 2 (sell)]],0)</f>
        <v>0</v>
      </c>
      <c r="AN10" s="35">
        <f>IF(P10&lt;0,-P10*tariffs[[#This Row],[Building 3 (sell)]],0)</f>
        <v>0</v>
      </c>
      <c r="AO10" s="35">
        <f>IF(Q10&lt;0,-Q10*tariffs[[#This Row],[Building 2 (sell)]],0)</f>
        <v>0</v>
      </c>
    </row>
    <row r="11" spans="1:41" x14ac:dyDescent="0.35">
      <c r="A11" s="1">
        <v>8</v>
      </c>
      <c r="B11" s="24">
        <f>final_electricity__16192426[[#This Row],[ Building 1 (kWh)]]</f>
        <v>1.1153586078000002</v>
      </c>
      <c r="C11" s="24">
        <f>final_electricity__16192426[[#This Row],[Building 2 (kWh)]]</f>
        <v>213.28899999999999</v>
      </c>
      <c r="D11" s="24">
        <f>final_electricity__16192426[[#This Row],[Building 3 (kWh)]]</f>
        <v>276.12</v>
      </c>
      <c r="E11" s="24">
        <f t="shared" si="0"/>
        <v>490.52435860779997</v>
      </c>
      <c r="G11" s="29">
        <v>8</v>
      </c>
      <c r="H11" s="32">
        <f>$D$34*(final_electricity__118[[#This Row],[Generation]]*10^-3)</f>
        <v>0</v>
      </c>
      <c r="I11" s="32">
        <f>$D$35*(final_electricity__118[[#This Row],[Generation]]*10^-3)</f>
        <v>0</v>
      </c>
      <c r="J11" s="32">
        <f>$D$36*(final_electricity__118[[#This Row],[Generation]]*10^-3)</f>
        <v>0</v>
      </c>
      <c r="K11" s="32">
        <f>SUM(final_electricity__1619242630314859[[#This Row],[ B1 (kWh)]]:final_electricity__1619242630314859[[#This Row],[B3 (kWh)]])</f>
        <v>0</v>
      </c>
      <c r="M11" s="29">
        <v>8</v>
      </c>
      <c r="N11" s="24">
        <f t="shared" si="2"/>
        <v>1.1153586078000002</v>
      </c>
      <c r="O11" s="24">
        <f t="shared" si="1"/>
        <v>213.28899999999999</v>
      </c>
      <c r="P11" s="24">
        <f t="shared" si="1"/>
        <v>276.12</v>
      </c>
      <c r="Q11" s="24">
        <f t="shared" si="1"/>
        <v>490.52435860779997</v>
      </c>
      <c r="S11" s="29">
        <v>8</v>
      </c>
      <c r="T11" s="24">
        <f>final_electricity__1619242630314859[[#This Row],[ B1 (kWh)]]*'Conversion Technologies'!$I$8</f>
        <v>0</v>
      </c>
      <c r="U11" s="24">
        <f>final_electricity__1619242630314859[[#This Row],[B2 (kWh)]]*'Conversion Technologies'!$I$8</f>
        <v>0</v>
      </c>
      <c r="V11" s="24">
        <f>final_electricity__1619242630314859[[#This Row],[B3 (kWh)]]*'Conversion Technologies'!$I$8</f>
        <v>0</v>
      </c>
      <c r="W11" s="24">
        <f>final_electricity__1619242630314859[[#This Row],[Community]]*'Conversion Technologies'!$I$8</f>
        <v>0</v>
      </c>
      <c r="Y11" s="29">
        <v>8</v>
      </c>
      <c r="Z11" s="24">
        <f>B11*tariffs[[#This Row],[Building 1 (buy)]]</f>
        <v>0.21816414368568002</v>
      </c>
      <c r="AA11" s="24">
        <f>C11*tariffs[[#This Row],[Building 2 (buy)]]</f>
        <v>33.4650441</v>
      </c>
      <c r="AB11" s="24">
        <f>D11*tariffs[[#This Row],[Building 3 (buy)]]</f>
        <v>46.222487999999998</v>
      </c>
      <c r="AC11" s="24">
        <f>E11*tariffs[[#This Row],[Building 2 (buy)]]</f>
        <v>76.963271865563826</v>
      </c>
      <c r="AE11" s="29">
        <v>8</v>
      </c>
      <c r="AF11" s="24">
        <f>IF(N11&gt;0,N11*tariffs[[#This Row],[Building 1 (buy)]],0)</f>
        <v>0.21816414368568002</v>
      </c>
      <c r="AG11" s="24">
        <f>IF(O11&gt;0,O11*tariffs[[#This Row],[Building 2 (buy)]],0)</f>
        <v>33.4650441</v>
      </c>
      <c r="AH11" s="24">
        <f>IF(P11&gt;0,P11*tariffs[[#This Row],[Building 3 (buy)]],0)</f>
        <v>46.222487999999998</v>
      </c>
      <c r="AI11" s="24">
        <f>IF(Q11&gt;0,Q11*tariffs[[#This Row],[Building 2 (buy)]],0)</f>
        <v>76.963271865563826</v>
      </c>
      <c r="AK11" s="29">
        <v>8</v>
      </c>
      <c r="AL11" s="35">
        <f>IF(N11&lt;0,-N11*tariffs[[#This Row],[Building 1 (sell)]],0)</f>
        <v>0</v>
      </c>
      <c r="AM11" s="35">
        <f>IF(O11&lt;0,-O11*tariffs[[#This Row],[Building 2 (sell)]],0)</f>
        <v>0</v>
      </c>
      <c r="AN11" s="35">
        <f>IF(P11&lt;0,-P11*tariffs[[#This Row],[Building 3 (sell)]],0)</f>
        <v>0</v>
      </c>
      <c r="AO11" s="35">
        <f>IF(Q11&lt;0,-Q11*tariffs[[#This Row],[Building 2 (sell)]],0)</f>
        <v>0</v>
      </c>
    </row>
    <row r="12" spans="1:41" x14ac:dyDescent="0.35">
      <c r="A12" s="1">
        <v>9</v>
      </c>
      <c r="B12" s="24">
        <f>final_electricity__16192426[[#This Row],[ Building 1 (kWh)]]</f>
        <v>0.17599999999999999</v>
      </c>
      <c r="C12" s="24">
        <f>final_electricity__16192426[[#This Row],[Building 2 (kWh)]]</f>
        <v>264.62</v>
      </c>
      <c r="D12" s="24">
        <f>final_electricity__16192426[[#This Row],[Building 3 (kWh)]]</f>
        <v>327.05939999999998</v>
      </c>
      <c r="E12" s="24">
        <f t="shared" si="0"/>
        <v>591.85539999999992</v>
      </c>
      <c r="G12" s="29">
        <v>9</v>
      </c>
      <c r="H12" s="32">
        <f>$D$34*(final_electricity__118[[#This Row],[Generation]]*10^-3)</f>
        <v>0.33192000000000005</v>
      </c>
      <c r="I12" s="32">
        <f>$D$35*(final_electricity__118[[#This Row],[Generation]]*10^-3)</f>
        <v>54.517860000000006</v>
      </c>
      <c r="J12" s="32">
        <f>$D$36*(final_electricity__118[[#This Row],[Generation]]*10^-3)</f>
        <v>266.78070000000002</v>
      </c>
      <c r="K12" s="32">
        <f>SUM(final_electricity__1619242630314859[[#This Row],[ B1 (kWh)]]:final_electricity__1619242630314859[[#This Row],[B3 (kWh)]])</f>
        <v>321.63048000000003</v>
      </c>
      <c r="M12" s="29">
        <v>9</v>
      </c>
      <c r="N12" s="24">
        <f t="shared" si="2"/>
        <v>-0.15592000000000006</v>
      </c>
      <c r="O12" s="24">
        <f t="shared" si="1"/>
        <v>210.10213999999999</v>
      </c>
      <c r="P12" s="24">
        <f t="shared" si="1"/>
        <v>60.278699999999958</v>
      </c>
      <c r="Q12" s="24">
        <f t="shared" si="1"/>
        <v>270.22491999999988</v>
      </c>
      <c r="S12" s="29">
        <v>9</v>
      </c>
      <c r="T12" s="24">
        <f>final_electricity__1619242630314859[[#This Row],[ B1 (kWh)]]*'Conversion Technologies'!$I$8</f>
        <v>1.0982647058823531E-2</v>
      </c>
      <c r="U12" s="24">
        <f>final_electricity__1619242630314859[[#This Row],[B2 (kWh)]]*'Conversion Technologies'!$I$8</f>
        <v>1.8038997794117648</v>
      </c>
      <c r="V12" s="24">
        <f>final_electricity__1619242630314859[[#This Row],[B3 (kWh)]]*'Conversion Technologies'!$I$8</f>
        <v>8.8273025735294119</v>
      </c>
      <c r="W12" s="24">
        <f>final_electricity__1619242630314859[[#This Row],[Community]]*'Conversion Technologies'!$I$8</f>
        <v>10.642185000000001</v>
      </c>
      <c r="Y12" s="29">
        <v>9</v>
      </c>
      <c r="Z12" s="24">
        <f>B12*tariffs[[#This Row],[Building 1 (buy)]]</f>
        <v>3.4425600000000001E-2</v>
      </c>
      <c r="AA12" s="24">
        <f>C12*tariffs[[#This Row],[Building 2 (buy)]]</f>
        <v>46.467272000000001</v>
      </c>
      <c r="AB12" s="24">
        <f>D12*tariffs[[#This Row],[Building 3 (buy)]]</f>
        <v>57.398924699999995</v>
      </c>
      <c r="AC12" s="24">
        <f>E12*tariffs[[#This Row],[Building 2 (buy)]]</f>
        <v>103.92980823999999</v>
      </c>
      <c r="AE12" s="29">
        <v>9</v>
      </c>
      <c r="AF12" s="24">
        <f>IF(N12&gt;0,N12*tariffs[[#This Row],[Building 1 (buy)]],0)</f>
        <v>0</v>
      </c>
      <c r="AG12" s="24">
        <f>IF(O12&gt;0,O12*tariffs[[#This Row],[Building 2 (buy)]],0)</f>
        <v>36.893935784</v>
      </c>
      <c r="AH12" s="24">
        <f>IF(P12&gt;0,P12*tariffs[[#This Row],[Building 3 (buy)]],0)</f>
        <v>10.578911849999992</v>
      </c>
      <c r="AI12" s="24">
        <f>IF(Q12&gt;0,Q12*tariffs[[#This Row],[Building 2 (buy)]],0)</f>
        <v>47.451495951999981</v>
      </c>
      <c r="AK12" s="29">
        <v>9</v>
      </c>
      <c r="AL12" s="35">
        <f>IF(N12&lt;0,-N12*tariffs[[#This Row],[Building 1 (sell)]],0)</f>
        <v>1.0290720000000005E-2</v>
      </c>
      <c r="AM12" s="35">
        <f>IF(O12&lt;0,-O12*tariffs[[#This Row],[Building 2 (sell)]],0)</f>
        <v>0</v>
      </c>
      <c r="AN12" s="35">
        <f>IF(P12&lt;0,-P12*tariffs[[#This Row],[Building 3 (sell)]],0)</f>
        <v>0</v>
      </c>
      <c r="AO12" s="35">
        <f>IF(Q12&lt;0,-Q12*tariffs[[#This Row],[Building 2 (sell)]],0)</f>
        <v>0</v>
      </c>
    </row>
    <row r="13" spans="1:41" x14ac:dyDescent="0.35">
      <c r="A13" s="1">
        <v>10</v>
      </c>
      <c r="B13" s="24">
        <f>final_electricity__16192426[[#This Row],[ Building 1 (kWh)]]</f>
        <v>0.318</v>
      </c>
      <c r="C13" s="24">
        <f>final_electricity__16192426[[#This Row],[Building 2 (kWh)]]</f>
        <v>278.54599999999999</v>
      </c>
      <c r="D13" s="24">
        <f>final_electricity__16192426[[#This Row],[Building 3 (kWh)]]</f>
        <v>357.839</v>
      </c>
      <c r="E13" s="24">
        <f t="shared" si="0"/>
        <v>636.70299999999997</v>
      </c>
      <c r="G13" s="29">
        <v>10</v>
      </c>
      <c r="H13" s="32">
        <f>$D$34*(final_electricity__118[[#This Row],[Generation]]*10^-3)</f>
        <v>0.65712000000000004</v>
      </c>
      <c r="I13" s="32">
        <f>$D$35*(final_electricity__118[[#This Row],[Generation]]*10^-3)</f>
        <v>107.93196</v>
      </c>
      <c r="J13" s="32">
        <f>$D$36*(final_electricity__118[[#This Row],[Generation]]*10^-3)</f>
        <v>528.16020000000003</v>
      </c>
      <c r="K13" s="32">
        <f>SUM(final_electricity__1619242630314859[[#This Row],[ B1 (kWh)]]:final_electricity__1619242630314859[[#This Row],[B3 (kWh)]])</f>
        <v>636.74928</v>
      </c>
      <c r="M13" s="29">
        <v>10</v>
      </c>
      <c r="N13" s="24">
        <f t="shared" si="2"/>
        <v>-0.33912000000000003</v>
      </c>
      <c r="O13" s="24">
        <f t="shared" si="1"/>
        <v>170.61403999999999</v>
      </c>
      <c r="P13" s="24">
        <f t="shared" si="1"/>
        <v>-170.32120000000003</v>
      </c>
      <c r="Q13" s="24">
        <f t="shared" si="1"/>
        <v>-4.6280000000024302E-2</v>
      </c>
      <c r="S13" s="29">
        <v>10</v>
      </c>
      <c r="T13" s="24">
        <f>final_electricity__1619242630314859[[#This Row],[ B1 (kWh)]]*'Conversion Technologies'!$I$8</f>
        <v>2.174294117647059E-2</v>
      </c>
      <c r="U13" s="24">
        <f>final_electricity__1619242630314859[[#This Row],[B2 (kWh)]]*'Conversion Technologies'!$I$8</f>
        <v>3.5712780882352941</v>
      </c>
      <c r="V13" s="24">
        <f>final_electricity__1619242630314859[[#This Row],[B3 (kWh)]]*'Conversion Technologies'!$I$8</f>
        <v>17.475888970588237</v>
      </c>
      <c r="W13" s="24">
        <f>final_electricity__1619242630314859[[#This Row],[Community]]*'Conversion Technologies'!$I$8</f>
        <v>21.068909999999999</v>
      </c>
      <c r="Y13" s="29">
        <v>10</v>
      </c>
      <c r="Z13" s="24">
        <f>B13*tariffs[[#This Row],[Building 1 (buy)]]</f>
        <v>6.2200800000000001E-2</v>
      </c>
      <c r="AA13" s="24">
        <f>C13*tariffs[[#This Row],[Building 2 (buy)]]</f>
        <v>48.912677600000002</v>
      </c>
      <c r="AB13" s="24">
        <f>D13*tariffs[[#This Row],[Building 3 (buy)]]</f>
        <v>62.800744499999993</v>
      </c>
      <c r="AC13" s="24">
        <f>E13*tariffs[[#This Row],[Building 2 (buy)]]</f>
        <v>111.8050468</v>
      </c>
      <c r="AE13" s="29">
        <v>10</v>
      </c>
      <c r="AF13" s="24">
        <f>IF(N13&gt;0,N13*tariffs[[#This Row],[Building 1 (buy)]],0)</f>
        <v>0</v>
      </c>
      <c r="AG13" s="24">
        <f>IF(O13&gt;0,O13*tariffs[[#This Row],[Building 2 (buy)]],0)</f>
        <v>29.959825423999998</v>
      </c>
      <c r="AH13" s="24">
        <f>IF(P13&gt;0,P13*tariffs[[#This Row],[Building 3 (buy)]],0)</f>
        <v>0</v>
      </c>
      <c r="AI13" s="24">
        <f>IF(Q13&gt;0,Q13*tariffs[[#This Row],[Building 2 (buy)]],0)</f>
        <v>0</v>
      </c>
      <c r="AK13" s="29">
        <v>10</v>
      </c>
      <c r="AL13" s="35">
        <f>IF(N13&lt;0,-N13*tariffs[[#This Row],[Building 1 (sell)]],0)</f>
        <v>2.2381920000000003E-2</v>
      </c>
      <c r="AM13" s="35">
        <f>IF(O13&lt;0,-O13*tariffs[[#This Row],[Building 2 (sell)]],0)</f>
        <v>0</v>
      </c>
      <c r="AN13" s="35">
        <f>IF(P13&lt;0,-P13*tariffs[[#This Row],[Building 3 (sell)]],0)</f>
        <v>3.7811306400000011</v>
      </c>
      <c r="AO13" s="35">
        <f>IF(Q13&lt;0,-Q13*tariffs[[#This Row],[Building 2 (sell)]],0)</f>
        <v>1.0274160000005395E-3</v>
      </c>
    </row>
    <row r="14" spans="1:41" x14ac:dyDescent="0.35">
      <c r="A14" s="1">
        <v>11</v>
      </c>
      <c r="B14" s="24">
        <f>final_electricity__16192426[[#This Row],[ Building 1 (kWh)]]</f>
        <v>0.122</v>
      </c>
      <c r="C14" s="24">
        <f>final_electricity__16192426[[#This Row],[Building 2 (kWh)]]</f>
        <v>290.54700000000003</v>
      </c>
      <c r="D14" s="24">
        <f>final_electricity__16192426[[#This Row],[Building 3 (kWh)]]</f>
        <v>393.238</v>
      </c>
      <c r="E14" s="24">
        <f t="shared" si="0"/>
        <v>683.90700000000004</v>
      </c>
      <c r="G14" s="29">
        <v>11</v>
      </c>
      <c r="H14" s="32">
        <f>$D$34*(final_electricity__118[[#This Row],[Generation]]*10^-3)</f>
        <v>0.72660000000000013</v>
      </c>
      <c r="I14" s="32">
        <f>$D$35*(final_electricity__118[[#This Row],[Generation]]*10^-3)</f>
        <v>119.34405000000001</v>
      </c>
      <c r="J14" s="32">
        <f>$D$36*(final_electricity__118[[#This Row],[Generation]]*10^-3)</f>
        <v>584.00475000000006</v>
      </c>
      <c r="K14" s="32">
        <f>SUM(final_electricity__1619242630314859[[#This Row],[ B1 (kWh)]]:final_electricity__1619242630314859[[#This Row],[B3 (kWh)]])</f>
        <v>704.07540000000006</v>
      </c>
      <c r="M14" s="29">
        <v>11</v>
      </c>
      <c r="N14" s="24">
        <f t="shared" si="2"/>
        <v>-0.60460000000000014</v>
      </c>
      <c r="O14" s="24">
        <f t="shared" si="1"/>
        <v>171.20295000000002</v>
      </c>
      <c r="P14" s="24">
        <f t="shared" si="1"/>
        <v>-190.76675000000006</v>
      </c>
      <c r="Q14" s="24">
        <f t="shared" si="1"/>
        <v>-20.16840000000002</v>
      </c>
      <c r="S14" s="29">
        <v>11</v>
      </c>
      <c r="T14" s="24">
        <f>final_electricity__1619242630314859[[#This Row],[ B1 (kWh)]]*'Conversion Technologies'!$I$8</f>
        <v>2.4041911764705888E-2</v>
      </c>
      <c r="U14" s="24">
        <f>final_electricity__1619242630314859[[#This Row],[B2 (kWh)]]*'Conversion Technologies'!$I$8</f>
        <v>3.9488840073529414</v>
      </c>
      <c r="V14" s="24">
        <f>final_electricity__1619242630314859[[#This Row],[B3 (kWh)]]*'Conversion Technologies'!$I$8</f>
        <v>19.323686580882356</v>
      </c>
      <c r="W14" s="24">
        <f>final_electricity__1619242630314859[[#This Row],[Community]]*'Conversion Technologies'!$I$8</f>
        <v>23.296612500000002</v>
      </c>
      <c r="Y14" s="29">
        <v>11</v>
      </c>
      <c r="Z14" s="24">
        <f>B14*tariffs[[#This Row],[Building 1 (buy)]]</f>
        <v>2.3863199999999998E-2</v>
      </c>
      <c r="AA14" s="24">
        <f>C14*tariffs[[#This Row],[Building 2 (buy)]]</f>
        <v>51.020053200000007</v>
      </c>
      <c r="AB14" s="24">
        <f>D14*tariffs[[#This Row],[Building 3 (buy)]]</f>
        <v>69.013268999999994</v>
      </c>
      <c r="AC14" s="24">
        <f>E14*tariffs[[#This Row],[Building 2 (buy)]]</f>
        <v>120.09406920000001</v>
      </c>
      <c r="AE14" s="29">
        <v>11</v>
      </c>
      <c r="AF14" s="24">
        <f>IF(N14&gt;0,N14*tariffs[[#This Row],[Building 1 (buy)]],0)</f>
        <v>0</v>
      </c>
      <c r="AG14" s="24">
        <f>IF(O14&gt;0,O14*tariffs[[#This Row],[Building 2 (buy)]],0)</f>
        <v>30.063238020000004</v>
      </c>
      <c r="AH14" s="24">
        <f>IF(P14&gt;0,P14*tariffs[[#This Row],[Building 3 (buy)]],0)</f>
        <v>0</v>
      </c>
      <c r="AI14" s="24">
        <f>IF(Q14&gt;0,Q14*tariffs[[#This Row],[Building 2 (buy)]],0)</f>
        <v>0</v>
      </c>
      <c r="AK14" s="29">
        <v>11</v>
      </c>
      <c r="AL14" s="35">
        <f>IF(N14&lt;0,-N14*tariffs[[#This Row],[Building 1 (sell)]],0)</f>
        <v>3.9903600000000011E-2</v>
      </c>
      <c r="AM14" s="35">
        <f>IF(O14&lt;0,-O14*tariffs[[#This Row],[Building 2 (sell)]],0)</f>
        <v>0</v>
      </c>
      <c r="AN14" s="35">
        <f>IF(P14&lt;0,-P14*tariffs[[#This Row],[Building 3 (sell)]],0)</f>
        <v>4.2350218500000016</v>
      </c>
      <c r="AO14" s="35">
        <f>IF(Q14&lt;0,-Q14*tariffs[[#This Row],[Building 2 (sell)]],0)</f>
        <v>0.44773848000000044</v>
      </c>
    </row>
    <row r="15" spans="1:41" x14ac:dyDescent="0.35">
      <c r="A15" s="1">
        <v>12</v>
      </c>
      <c r="B15" s="24">
        <f>final_electricity__16192426[[#This Row],[ Building 1 (kWh)]]</f>
        <v>0.10100000000000001</v>
      </c>
      <c r="C15" s="24">
        <f>final_electricity__16192426[[#This Row],[Building 2 (kWh)]]</f>
        <v>278.565</v>
      </c>
      <c r="D15" s="24">
        <f>final_electricity__16192426[[#This Row],[Building 3 (kWh)]]</f>
        <v>400.87400000000002</v>
      </c>
      <c r="E15" s="24">
        <f t="shared" si="0"/>
        <v>679.54</v>
      </c>
      <c r="G15" s="29">
        <v>12</v>
      </c>
      <c r="H15" s="32">
        <f>$D$34*(final_electricity__118[[#This Row],[Generation]]*10^-3)</f>
        <v>1.1287199999999999</v>
      </c>
      <c r="I15" s="32">
        <f>$D$35*(final_electricity__118[[#This Row],[Generation]]*10^-3)</f>
        <v>185.39226000000002</v>
      </c>
      <c r="J15" s="32">
        <f>$D$36*(final_electricity__118[[#This Row],[Generation]]*10^-3)</f>
        <v>907.20870000000002</v>
      </c>
      <c r="K15" s="32">
        <f>SUM(final_electricity__1619242630314859[[#This Row],[ B1 (kWh)]]:final_electricity__1619242630314859[[#This Row],[B3 (kWh)]])</f>
        <v>1093.7296799999999</v>
      </c>
      <c r="M15" s="29">
        <v>12</v>
      </c>
      <c r="N15" s="24">
        <f t="shared" si="2"/>
        <v>-1.02772</v>
      </c>
      <c r="O15" s="24">
        <f t="shared" si="1"/>
        <v>93.172739999999976</v>
      </c>
      <c r="P15" s="24">
        <f t="shared" si="1"/>
        <v>-506.3347</v>
      </c>
      <c r="Q15" s="24">
        <f t="shared" si="1"/>
        <v>-414.18967999999995</v>
      </c>
      <c r="S15" s="29">
        <v>12</v>
      </c>
      <c r="T15" s="24">
        <f>final_electricity__1619242630314859[[#This Row],[ B1 (kWh)]]*'Conversion Technologies'!$I$8</f>
        <v>3.734735294117647E-2</v>
      </c>
      <c r="U15" s="24">
        <f>final_electricity__1619242630314859[[#This Row],[B2 (kWh)]]*'Conversion Technologies'!$I$8</f>
        <v>6.1343027205882361</v>
      </c>
      <c r="V15" s="24">
        <f>final_electricity__1619242630314859[[#This Row],[B3 (kWh)]]*'Conversion Technologies'!$I$8</f>
        <v>30.017934926470588</v>
      </c>
      <c r="W15" s="24">
        <f>final_electricity__1619242630314859[[#This Row],[Community]]*'Conversion Technologies'!$I$8</f>
        <v>36.189585000000001</v>
      </c>
      <c r="Y15" s="29">
        <v>12</v>
      </c>
      <c r="Z15" s="24">
        <f>B15*tariffs[[#This Row],[Building 1 (buy)]]</f>
        <v>1.9755600000000002E-2</v>
      </c>
      <c r="AA15" s="24">
        <f>C15*tariffs[[#This Row],[Building 2 (buy)]]</f>
        <v>43.7068485</v>
      </c>
      <c r="AB15" s="24">
        <f>D15*tariffs[[#This Row],[Building 3 (buy)]]</f>
        <v>67.106307600000008</v>
      </c>
      <c r="AC15" s="24">
        <f>E15*tariffs[[#This Row],[Building 2 (buy)]]</f>
        <v>106.619826</v>
      </c>
      <c r="AE15" s="29">
        <v>12</v>
      </c>
      <c r="AF15" s="24">
        <f>IF(N15&gt;0,N15*tariffs[[#This Row],[Building 1 (buy)]],0)</f>
        <v>0</v>
      </c>
      <c r="AG15" s="24">
        <f>IF(O15&gt;0,O15*tariffs[[#This Row],[Building 2 (buy)]],0)</f>
        <v>14.618802905999997</v>
      </c>
      <c r="AH15" s="24">
        <f>IF(P15&gt;0,P15*tariffs[[#This Row],[Building 3 (buy)]],0)</f>
        <v>0</v>
      </c>
      <c r="AI15" s="24">
        <f>IF(Q15&gt;0,Q15*tariffs[[#This Row],[Building 2 (buy)]],0)</f>
        <v>0</v>
      </c>
      <c r="AK15" s="29">
        <v>12</v>
      </c>
      <c r="AL15" s="35">
        <f>IF(N15&lt;0,-N15*tariffs[[#This Row],[Building 1 (sell)]],0)</f>
        <v>6.7829520000000004E-2</v>
      </c>
      <c r="AM15" s="35">
        <f>IF(O15&lt;0,-O15*tariffs[[#This Row],[Building 2 (sell)]],0)</f>
        <v>0</v>
      </c>
      <c r="AN15" s="35">
        <f>IF(P15&lt;0,-P15*tariffs[[#This Row],[Building 3 (sell)]],0)</f>
        <v>11.240630340000001</v>
      </c>
      <c r="AO15" s="35">
        <f>IF(Q15&lt;0,-Q15*tariffs[[#This Row],[Building 2 (sell)]],0)</f>
        <v>9.1950108959999994</v>
      </c>
    </row>
    <row r="16" spans="1:41" x14ac:dyDescent="0.35">
      <c r="A16" s="1">
        <v>13</v>
      </c>
      <c r="B16" s="24">
        <f>final_electricity__16192426[[#This Row],[ Building 1 (kWh)]]</f>
        <v>0.106</v>
      </c>
      <c r="C16" s="24">
        <f>final_electricity__16192426[[#This Row],[Building 2 (kWh)]]</f>
        <v>298.416</v>
      </c>
      <c r="D16" s="24">
        <f>final_electricity__16192426[[#This Row],[Building 3 (kWh)]]</f>
        <v>372.48899999999998</v>
      </c>
      <c r="E16" s="24">
        <f t="shared" si="0"/>
        <v>671.01099999999997</v>
      </c>
      <c r="G16" s="29">
        <v>13</v>
      </c>
      <c r="H16" s="32">
        <f>$D$34*(final_electricity__118[[#This Row],[Generation]]*10^-3)</f>
        <v>1.42038</v>
      </c>
      <c r="I16" s="32">
        <f>$D$35*(final_electricity__118[[#This Row],[Generation]]*10^-3)</f>
        <v>233.297415</v>
      </c>
      <c r="J16" s="32">
        <f>$D$36*(final_electricity__118[[#This Row],[Generation]]*10^-3)</f>
        <v>1141.6304250000001</v>
      </c>
      <c r="K16" s="32">
        <f>SUM(final_electricity__1619242630314859[[#This Row],[ B1 (kWh)]]:final_electricity__1619242630314859[[#This Row],[B3 (kWh)]])</f>
        <v>1376.3482200000001</v>
      </c>
      <c r="M16" s="29">
        <v>13</v>
      </c>
      <c r="N16" s="24">
        <f t="shared" si="2"/>
        <v>-1.3143799999999999</v>
      </c>
      <c r="O16" s="24">
        <f t="shared" si="1"/>
        <v>65.118584999999996</v>
      </c>
      <c r="P16" s="24">
        <f t="shared" si="1"/>
        <v>-769.14142500000003</v>
      </c>
      <c r="Q16" s="24">
        <f t="shared" si="1"/>
        <v>-705.33722000000012</v>
      </c>
      <c r="S16" s="29">
        <v>13</v>
      </c>
      <c r="T16" s="24">
        <f>final_electricity__1619242630314859[[#This Row],[ B1 (kWh)]]*'Conversion Technologies'!$I$8</f>
        <v>4.6997867647058822E-2</v>
      </c>
      <c r="U16" s="24">
        <f>final_electricity__1619242630314859[[#This Row],[B2 (kWh)]]*'Conversion Technologies'!$I$8</f>
        <v>7.7193997610294121</v>
      </c>
      <c r="V16" s="24">
        <f>final_electricity__1619242630314859[[#This Row],[B3 (kWh)]]*'Conversion Technologies'!$I$8</f>
        <v>37.774536121323528</v>
      </c>
      <c r="W16" s="24">
        <f>final_electricity__1619242630314859[[#This Row],[Community]]*'Conversion Technologies'!$I$8</f>
        <v>45.540933750000001</v>
      </c>
      <c r="Y16" s="29">
        <v>13</v>
      </c>
      <c r="Z16" s="24">
        <f>B16*tariffs[[#This Row],[Building 1 (buy)]]</f>
        <v>2.0733599999999998E-2</v>
      </c>
      <c r="AA16" s="24">
        <f>C16*tariffs[[#This Row],[Building 2 (buy)]]</f>
        <v>46.821470400000003</v>
      </c>
      <c r="AB16" s="24">
        <f>D16*tariffs[[#This Row],[Building 3 (buy)]]</f>
        <v>62.354658599999993</v>
      </c>
      <c r="AC16" s="24">
        <f>E16*tariffs[[#This Row],[Building 2 (buy)]]</f>
        <v>105.28162590000001</v>
      </c>
      <c r="AE16" s="29">
        <v>13</v>
      </c>
      <c r="AF16" s="24">
        <f>IF(N16&gt;0,N16*tariffs[[#This Row],[Building 1 (buy)]],0)</f>
        <v>0</v>
      </c>
      <c r="AG16" s="24">
        <f>IF(O16&gt;0,O16*tariffs[[#This Row],[Building 2 (buy)]],0)</f>
        <v>10.2171059865</v>
      </c>
      <c r="AH16" s="24">
        <f>IF(P16&gt;0,P16*tariffs[[#This Row],[Building 3 (buy)]],0)</f>
        <v>0</v>
      </c>
      <c r="AI16" s="24">
        <f>IF(Q16&gt;0,Q16*tariffs[[#This Row],[Building 2 (buy)]],0)</f>
        <v>0</v>
      </c>
      <c r="AK16" s="29">
        <v>13</v>
      </c>
      <c r="AL16" s="35">
        <f>IF(N16&lt;0,-N16*tariffs[[#This Row],[Building 1 (sell)]],0)</f>
        <v>8.6749079999999992E-2</v>
      </c>
      <c r="AM16" s="35">
        <f>IF(O16&lt;0,-O16*tariffs[[#This Row],[Building 2 (sell)]],0)</f>
        <v>0</v>
      </c>
      <c r="AN16" s="35">
        <f>IF(P16&lt;0,-P16*tariffs[[#This Row],[Building 3 (sell)]],0)</f>
        <v>17.074939635</v>
      </c>
      <c r="AO16" s="35">
        <f>IF(Q16&lt;0,-Q16*tariffs[[#This Row],[Building 2 (sell)]],0)</f>
        <v>15.658486284000004</v>
      </c>
    </row>
    <row r="17" spans="1:41" x14ac:dyDescent="0.35">
      <c r="A17" s="1">
        <v>14</v>
      </c>
      <c r="B17" s="24">
        <f>final_electricity__16192426[[#This Row],[ Building 1 (kWh)]]</f>
        <v>0.17499999999999999</v>
      </c>
      <c r="C17" s="24">
        <f>final_electricity__16192426[[#This Row],[Building 2 (kWh)]]</f>
        <v>322.815</v>
      </c>
      <c r="D17" s="24">
        <f>final_electricity__16192426[[#This Row],[Building 3 (kWh)]]</f>
        <v>357.63299999999998</v>
      </c>
      <c r="E17" s="24">
        <f t="shared" si="0"/>
        <v>680.62300000000005</v>
      </c>
      <c r="G17" s="29">
        <v>14</v>
      </c>
      <c r="H17" s="32">
        <f>$D$34*(final_electricity__118[[#This Row],[Generation]]*10^-3)</f>
        <v>1.17822</v>
      </c>
      <c r="I17" s="32">
        <f>$D$35*(final_electricity__118[[#This Row],[Generation]]*10^-3)</f>
        <v>193.52263500000001</v>
      </c>
      <c r="J17" s="32">
        <f>$D$36*(final_electricity__118[[#This Row],[Generation]]*10^-3)</f>
        <v>946.99432500000012</v>
      </c>
      <c r="K17" s="32">
        <f>SUM(final_electricity__1619242630314859[[#This Row],[ B1 (kWh)]]:final_electricity__1619242630314859[[#This Row],[B3 (kWh)]])</f>
        <v>1141.6951800000002</v>
      </c>
      <c r="M17" s="29">
        <v>14</v>
      </c>
      <c r="N17" s="24">
        <f t="shared" si="2"/>
        <v>-1.00322</v>
      </c>
      <c r="O17" s="24">
        <f t="shared" si="1"/>
        <v>129.29236499999999</v>
      </c>
      <c r="P17" s="24">
        <f t="shared" si="1"/>
        <v>-589.36132500000008</v>
      </c>
      <c r="Q17" s="24">
        <f t="shared" si="1"/>
        <v>-461.07218000000012</v>
      </c>
      <c r="S17" s="29">
        <v>14</v>
      </c>
      <c r="T17" s="24">
        <f>final_electricity__1619242630314859[[#This Row],[ B1 (kWh)]]*'Conversion Technologies'!$I$8</f>
        <v>3.8985220588235295E-2</v>
      </c>
      <c r="U17" s="24">
        <f>final_electricity__1619242630314859[[#This Row],[B2 (kWh)]]*'Conversion Technologies'!$I$8</f>
        <v>6.4033224816176473</v>
      </c>
      <c r="V17" s="24">
        <f>final_electricity__1619242630314859[[#This Row],[B3 (kWh)]]*'Conversion Technologies'!$I$8</f>
        <v>31.334371047794122</v>
      </c>
      <c r="W17" s="24">
        <f>final_electricity__1619242630314859[[#This Row],[Community]]*'Conversion Technologies'!$I$8</f>
        <v>37.776678750000009</v>
      </c>
      <c r="Y17" s="29">
        <v>14</v>
      </c>
      <c r="Z17" s="24">
        <f>B17*tariffs[[#This Row],[Building 1 (buy)]]</f>
        <v>3.4229999999999997E-2</v>
      </c>
      <c r="AA17" s="24">
        <f>C17*tariffs[[#This Row],[Building 2 (buy)]]</f>
        <v>50.649673500000006</v>
      </c>
      <c r="AB17" s="24">
        <f>D17*tariffs[[#This Row],[Building 3 (buy)]]</f>
        <v>59.867764199999996</v>
      </c>
      <c r="AC17" s="24">
        <f>E17*tariffs[[#This Row],[Building 2 (buy)]]</f>
        <v>106.78974870000002</v>
      </c>
      <c r="AE17" s="29">
        <v>14</v>
      </c>
      <c r="AF17" s="24">
        <f>IF(N17&gt;0,N17*tariffs[[#This Row],[Building 1 (buy)]],0)</f>
        <v>0</v>
      </c>
      <c r="AG17" s="24">
        <f>IF(O17&gt;0,O17*tariffs[[#This Row],[Building 2 (buy)]],0)</f>
        <v>20.285972068500001</v>
      </c>
      <c r="AH17" s="24">
        <f>IF(P17&gt;0,P17*tariffs[[#This Row],[Building 3 (buy)]],0)</f>
        <v>0</v>
      </c>
      <c r="AI17" s="24">
        <f>IF(Q17&gt;0,Q17*tariffs[[#This Row],[Building 2 (buy)]],0)</f>
        <v>0</v>
      </c>
      <c r="AK17" s="29">
        <v>14</v>
      </c>
      <c r="AL17" s="35">
        <f>IF(N17&lt;0,-N17*tariffs[[#This Row],[Building 1 (sell)]],0)</f>
        <v>6.6212519999999997E-2</v>
      </c>
      <c r="AM17" s="35">
        <f>IF(O17&lt;0,-O17*tariffs[[#This Row],[Building 2 (sell)]],0)</f>
        <v>0</v>
      </c>
      <c r="AN17" s="35">
        <f>IF(P17&lt;0,-P17*tariffs[[#This Row],[Building 3 (sell)]],0)</f>
        <v>13.319565945000001</v>
      </c>
      <c r="AO17" s="35">
        <f>IF(Q17&lt;0,-Q17*tariffs[[#This Row],[Building 2 (sell)]],0)</f>
        <v>10.420231268000002</v>
      </c>
    </row>
    <row r="18" spans="1:41" x14ac:dyDescent="0.35">
      <c r="A18" s="1">
        <v>15</v>
      </c>
      <c r="B18" s="24">
        <f>final_electricity__16192426[[#This Row],[ Building 1 (kWh)]]</f>
        <v>0.23200000000000001</v>
      </c>
      <c r="C18" s="24">
        <f>final_electricity__16192426[[#This Row],[Building 2 (kWh)]]</f>
        <v>325.81900000000002</v>
      </c>
      <c r="D18" s="24">
        <f>final_electricity__16192426[[#This Row],[Building 3 (kWh)]]</f>
        <v>367.19799999999998</v>
      </c>
      <c r="E18" s="24">
        <f t="shared" si="0"/>
        <v>693.24900000000002</v>
      </c>
      <c r="G18" s="29">
        <v>15</v>
      </c>
      <c r="H18" s="32">
        <f>$D$34*(final_electricity__118[[#This Row],[Generation]]*10^-3)</f>
        <v>1.1978399999999998</v>
      </c>
      <c r="I18" s="32">
        <f>$D$35*(final_electricity__118[[#This Row],[Generation]]*10^-3)</f>
        <v>196.74521999999999</v>
      </c>
      <c r="J18" s="32">
        <f>$D$36*(final_electricity__118[[#This Row],[Generation]]*10^-3)</f>
        <v>962.76389999999992</v>
      </c>
      <c r="K18" s="32">
        <f>SUM(final_electricity__1619242630314859[[#This Row],[ B1 (kWh)]]:final_electricity__1619242630314859[[#This Row],[B3 (kWh)]])</f>
        <v>1160.70696</v>
      </c>
      <c r="M18" s="29">
        <v>15</v>
      </c>
      <c r="N18" s="24">
        <f t="shared" si="2"/>
        <v>-0.96583999999999981</v>
      </c>
      <c r="O18" s="24">
        <f t="shared" si="1"/>
        <v>129.07378000000003</v>
      </c>
      <c r="P18" s="24">
        <f t="shared" si="1"/>
        <v>-595.56589999999994</v>
      </c>
      <c r="Q18" s="24">
        <f t="shared" si="1"/>
        <v>-467.45795999999996</v>
      </c>
      <c r="S18" s="29">
        <v>15</v>
      </c>
      <c r="T18" s="24">
        <f>final_electricity__1619242630314859[[#This Row],[ B1 (kWh)]]*'Conversion Technologies'!$I$8</f>
        <v>3.9634411764705876E-2</v>
      </c>
      <c r="U18" s="24">
        <f>final_electricity__1619242630314859[[#This Row],[B2 (kWh)]]*'Conversion Technologies'!$I$8</f>
        <v>6.5099521323529412</v>
      </c>
      <c r="V18" s="24">
        <f>final_electricity__1619242630314859[[#This Row],[B3 (kWh)]]*'Conversion Technologies'!$I$8</f>
        <v>31.856158455882351</v>
      </c>
      <c r="W18" s="24">
        <f>final_electricity__1619242630314859[[#This Row],[Community]]*'Conversion Technologies'!$I$8</f>
        <v>38.405745000000003</v>
      </c>
      <c r="Y18" s="29">
        <v>15</v>
      </c>
      <c r="Z18" s="24">
        <f>B18*tariffs[[#This Row],[Building 1 (buy)]]</f>
        <v>4.5379200000000001E-2</v>
      </c>
      <c r="AA18" s="24">
        <f>C18*tariffs[[#This Row],[Building 2 (buy)]]</f>
        <v>51.121001100000008</v>
      </c>
      <c r="AB18" s="24">
        <f>D18*tariffs[[#This Row],[Building 3 (buy)]]</f>
        <v>61.468945199999993</v>
      </c>
      <c r="AC18" s="24">
        <f>E18*tariffs[[#This Row],[Building 2 (buy)]]</f>
        <v>108.77076810000001</v>
      </c>
      <c r="AE18" s="29">
        <v>15</v>
      </c>
      <c r="AF18" s="24">
        <f>IF(N18&gt;0,N18*tariffs[[#This Row],[Building 1 (buy)]],0)</f>
        <v>0</v>
      </c>
      <c r="AG18" s="24">
        <f>IF(O18&gt;0,O18*tariffs[[#This Row],[Building 2 (buy)]],0)</f>
        <v>20.251676082000007</v>
      </c>
      <c r="AH18" s="24">
        <f>IF(P18&gt;0,P18*tariffs[[#This Row],[Building 3 (buy)]],0)</f>
        <v>0</v>
      </c>
      <c r="AI18" s="24">
        <f>IF(Q18&gt;0,Q18*tariffs[[#This Row],[Building 2 (buy)]],0)</f>
        <v>0</v>
      </c>
      <c r="AK18" s="29">
        <v>15</v>
      </c>
      <c r="AL18" s="35">
        <f>IF(N18&lt;0,-N18*tariffs[[#This Row],[Building 1 (sell)]],0)</f>
        <v>6.3745439999999987E-2</v>
      </c>
      <c r="AM18" s="35">
        <f>IF(O18&lt;0,-O18*tariffs[[#This Row],[Building 2 (sell)]],0)</f>
        <v>0</v>
      </c>
      <c r="AN18" s="35">
        <f>IF(P18&lt;0,-P18*tariffs[[#This Row],[Building 3 (sell)]],0)</f>
        <v>13.459789339999999</v>
      </c>
      <c r="AO18" s="35">
        <f>IF(Q18&lt;0,-Q18*tariffs[[#This Row],[Building 2 (sell)]],0)</f>
        <v>10.564549895999999</v>
      </c>
    </row>
    <row r="19" spans="1:41" x14ac:dyDescent="0.35">
      <c r="A19" s="1">
        <v>16</v>
      </c>
      <c r="B19" s="24">
        <f>final_electricity__16192426[[#This Row],[ Building 1 (kWh)]]</f>
        <v>0.161</v>
      </c>
      <c r="C19" s="24">
        <f>final_electricity__16192426[[#This Row],[Building 2 (kWh)]]</f>
        <v>305.94099999999997</v>
      </c>
      <c r="D19" s="24">
        <f>final_electricity__16192426[[#This Row],[Building 3 (kWh)]]</f>
        <v>356.8</v>
      </c>
      <c r="E19" s="24">
        <f t="shared" si="0"/>
        <v>662.90200000000004</v>
      </c>
      <c r="G19" s="29">
        <v>16</v>
      </c>
      <c r="H19" s="32">
        <f>$D$34*(final_electricity__118[[#This Row],[Generation]]*10^-3)</f>
        <v>1.0903800000000001</v>
      </c>
      <c r="I19" s="32">
        <f>$D$35*(final_electricity__118[[#This Row],[Generation]]*10^-3)</f>
        <v>179.09491500000004</v>
      </c>
      <c r="J19" s="32">
        <f>$D$36*(final_electricity__118[[#This Row],[Generation]]*10^-3)</f>
        <v>876.3929250000001</v>
      </c>
      <c r="K19" s="32">
        <f>SUM(final_electricity__1619242630314859[[#This Row],[ B1 (kWh)]]:final_electricity__1619242630314859[[#This Row],[B3 (kWh)]])</f>
        <v>1056.5782200000001</v>
      </c>
      <c r="M19" s="29">
        <v>16</v>
      </c>
      <c r="N19" s="24">
        <f t="shared" si="2"/>
        <v>-0.92938000000000009</v>
      </c>
      <c r="O19" s="24">
        <f t="shared" si="2"/>
        <v>126.84608499999993</v>
      </c>
      <c r="P19" s="24">
        <f t="shared" si="2"/>
        <v>-519.59292500000015</v>
      </c>
      <c r="Q19" s="24">
        <f t="shared" si="2"/>
        <v>-393.67622000000006</v>
      </c>
      <c r="S19" s="29">
        <v>16</v>
      </c>
      <c r="T19" s="24">
        <f>final_electricity__1619242630314859[[#This Row],[ B1 (kWh)]]*'Conversion Technologies'!$I$8</f>
        <v>3.6078750000000007E-2</v>
      </c>
      <c r="U19" s="24">
        <f>final_electricity__1619242630314859[[#This Row],[B2 (kWh)]]*'Conversion Technologies'!$I$8</f>
        <v>5.9259346875000016</v>
      </c>
      <c r="V19" s="24">
        <f>final_electricity__1619242630314859[[#This Row],[B3 (kWh)]]*'Conversion Technologies'!$I$8</f>
        <v>28.998295312500005</v>
      </c>
      <c r="W19" s="24">
        <f>final_electricity__1619242630314859[[#This Row],[Community]]*'Conversion Technologies'!$I$8</f>
        <v>34.960308750000003</v>
      </c>
      <c r="Y19" s="29">
        <v>16</v>
      </c>
      <c r="Z19" s="24">
        <f>B19*tariffs[[#This Row],[Building 1 (buy)]]</f>
        <v>3.1491600000000002E-2</v>
      </c>
      <c r="AA19" s="24">
        <f>C19*tariffs[[#This Row],[Building 2 (buy)]]</f>
        <v>48.002142900000003</v>
      </c>
      <c r="AB19" s="24">
        <f>D19*tariffs[[#This Row],[Building 3 (buy)]]</f>
        <v>59.728319999999997</v>
      </c>
      <c r="AC19" s="24">
        <f>E19*tariffs[[#This Row],[Building 2 (buy)]]</f>
        <v>104.00932380000002</v>
      </c>
      <c r="AE19" s="29">
        <v>16</v>
      </c>
      <c r="AF19" s="24">
        <f>IF(N19&gt;0,N19*tariffs[[#This Row],[Building 1 (buy)]],0)</f>
        <v>0</v>
      </c>
      <c r="AG19" s="24">
        <f>IF(O19&gt;0,O19*tariffs[[#This Row],[Building 2 (buy)]],0)</f>
        <v>19.902150736499991</v>
      </c>
      <c r="AH19" s="24">
        <f>IF(P19&gt;0,P19*tariffs[[#This Row],[Building 3 (buy)]],0)</f>
        <v>0</v>
      </c>
      <c r="AI19" s="24">
        <f>IF(Q19&gt;0,Q19*tariffs[[#This Row],[Building 2 (buy)]],0)</f>
        <v>0</v>
      </c>
      <c r="AK19" s="29">
        <v>16</v>
      </c>
      <c r="AL19" s="35">
        <f>IF(N19&lt;0,-N19*tariffs[[#This Row],[Building 1 (sell)]],0)</f>
        <v>6.1339080000000011E-2</v>
      </c>
      <c r="AM19" s="35">
        <f>IF(O19&lt;0,-O19*tariffs[[#This Row],[Building 2 (sell)]],0)</f>
        <v>0</v>
      </c>
      <c r="AN19" s="35">
        <f>IF(P19&lt;0,-P19*tariffs[[#This Row],[Building 3 (sell)]],0)</f>
        <v>11.742800105000002</v>
      </c>
      <c r="AO19" s="35">
        <f>IF(Q19&lt;0,-Q19*tariffs[[#This Row],[Building 2 (sell)]],0)</f>
        <v>8.8970825720000004</v>
      </c>
    </row>
    <row r="20" spans="1:41" x14ac:dyDescent="0.35">
      <c r="A20" s="1">
        <v>17</v>
      </c>
      <c r="B20" s="24">
        <f>final_electricity__16192426[[#This Row],[ Building 1 (kWh)]]</f>
        <v>0.28699999999999998</v>
      </c>
      <c r="C20" s="24">
        <f>final_electricity__16192426[[#This Row],[Building 2 (kWh)]]</f>
        <v>272.05799999999999</v>
      </c>
      <c r="D20" s="24">
        <f>final_electricity__16192426[[#This Row],[Building 3 (kWh)]]</f>
        <v>330.608</v>
      </c>
      <c r="E20" s="24">
        <f t="shared" si="0"/>
        <v>602.95299999999997</v>
      </c>
      <c r="G20" s="29">
        <v>17</v>
      </c>
      <c r="H20" s="32">
        <f>$D$34*(final_electricity__118[[#This Row],[Generation]]*10^-3)</f>
        <v>1.0702199999999999</v>
      </c>
      <c r="I20" s="32">
        <f>$D$35*(final_electricity__118[[#This Row],[Generation]]*10^-3)</f>
        <v>175.783635</v>
      </c>
      <c r="J20" s="32">
        <f>$D$36*(final_electricity__118[[#This Row],[Generation]]*10^-3)</f>
        <v>860.18932500000005</v>
      </c>
      <c r="K20" s="32">
        <f>SUM(final_electricity__1619242630314859[[#This Row],[ B1 (kWh)]]:final_electricity__1619242630314859[[#This Row],[B3 (kWh)]])</f>
        <v>1037.0431800000001</v>
      </c>
      <c r="M20" s="29">
        <v>17</v>
      </c>
      <c r="N20" s="24">
        <f t="shared" si="2"/>
        <v>-0.78322000000000003</v>
      </c>
      <c r="O20" s="24">
        <f t="shared" si="2"/>
        <v>96.274364999999989</v>
      </c>
      <c r="P20" s="24">
        <f t="shared" si="2"/>
        <v>-529.58132500000011</v>
      </c>
      <c r="Q20" s="24">
        <f t="shared" si="2"/>
        <v>-434.09018000000015</v>
      </c>
      <c r="S20" s="29">
        <v>17</v>
      </c>
      <c r="T20" s="24">
        <f>final_electricity__1619242630314859[[#This Row],[ B1 (kWh)]]*'Conversion Technologies'!$I$8</f>
        <v>3.541169117647059E-2</v>
      </c>
      <c r="U20" s="24">
        <f>final_electricity__1619242630314859[[#This Row],[B2 (kWh)]]*'Conversion Technologies'!$I$8</f>
        <v>5.8163702757352942</v>
      </c>
      <c r="V20" s="24">
        <f>final_electricity__1619242630314859[[#This Row],[B3 (kWh)]]*'Conversion Technologies'!$I$8</f>
        <v>28.462146783088237</v>
      </c>
      <c r="W20" s="24">
        <f>final_electricity__1619242630314859[[#This Row],[Community]]*'Conversion Technologies'!$I$8</f>
        <v>34.313928750000002</v>
      </c>
      <c r="Y20" s="29">
        <v>17</v>
      </c>
      <c r="Z20" s="24">
        <f>B20*tariffs[[#This Row],[Building 1 (buy)]]</f>
        <v>5.6137199999999991E-2</v>
      </c>
      <c r="AA20" s="24">
        <f>C20*tariffs[[#This Row],[Building 2 (buy)]]</f>
        <v>42.685900199999999</v>
      </c>
      <c r="AB20" s="24">
        <f>D20*tariffs[[#This Row],[Building 3 (buy)]]</f>
        <v>55.3437792</v>
      </c>
      <c r="AC20" s="24">
        <f>E20*tariffs[[#This Row],[Building 2 (buy)]]</f>
        <v>94.603325699999999</v>
      </c>
      <c r="AE20" s="29">
        <v>17</v>
      </c>
      <c r="AF20" s="24">
        <f>IF(N20&gt;0,N20*tariffs[[#This Row],[Building 1 (buy)]],0)</f>
        <v>0</v>
      </c>
      <c r="AG20" s="24">
        <f>IF(O20&gt;0,O20*tariffs[[#This Row],[Building 2 (buy)]],0)</f>
        <v>15.105447868499999</v>
      </c>
      <c r="AH20" s="24">
        <f>IF(P20&gt;0,P20*tariffs[[#This Row],[Building 3 (buy)]],0)</f>
        <v>0</v>
      </c>
      <c r="AI20" s="24">
        <f>IF(Q20&gt;0,Q20*tariffs[[#This Row],[Building 2 (buy)]],0)</f>
        <v>0</v>
      </c>
      <c r="AK20" s="29">
        <v>17</v>
      </c>
      <c r="AL20" s="35">
        <f>IF(N20&lt;0,-N20*tariffs[[#This Row],[Building 1 (sell)]],0)</f>
        <v>5.1692520000000006E-2</v>
      </c>
      <c r="AM20" s="35">
        <f>IF(O20&lt;0,-O20*tariffs[[#This Row],[Building 2 (sell)]],0)</f>
        <v>0</v>
      </c>
      <c r="AN20" s="35">
        <f>IF(P20&lt;0,-P20*tariffs[[#This Row],[Building 3 (sell)]],0)</f>
        <v>11.968537945000001</v>
      </c>
      <c r="AO20" s="35">
        <f>IF(Q20&lt;0,-Q20*tariffs[[#This Row],[Building 2 (sell)]],0)</f>
        <v>9.8104380680000034</v>
      </c>
    </row>
    <row r="21" spans="1:41" x14ac:dyDescent="0.35">
      <c r="A21" s="1">
        <v>18</v>
      </c>
      <c r="B21" s="24">
        <f>final_electricity__16192426[[#This Row],[ Building 1 (kWh)]]</f>
        <v>0.30199999999999999</v>
      </c>
      <c r="C21" s="24">
        <f>final_electricity__16192426[[#This Row],[Building 2 (kWh)]]</f>
        <v>225.411</v>
      </c>
      <c r="D21" s="24">
        <f>final_electricity__16192426[[#This Row],[Building 3 (kWh)]]</f>
        <v>282.596</v>
      </c>
      <c r="E21" s="24">
        <f t="shared" si="0"/>
        <v>508.30899999999997</v>
      </c>
      <c r="G21" s="29">
        <v>18</v>
      </c>
      <c r="H21" s="32">
        <f>$D$34*(final_electricity__118[[#This Row],[Generation]]*10^-3)</f>
        <v>0.91266000000000014</v>
      </c>
      <c r="I21" s="32">
        <f>$D$35*(final_electricity__118[[#This Row],[Generation]]*10^-3)</f>
        <v>149.90440500000003</v>
      </c>
      <c r="J21" s="32">
        <f>$D$36*(final_electricity__118[[#This Row],[Generation]]*10^-3)</f>
        <v>733.55047500000012</v>
      </c>
      <c r="K21" s="32">
        <f>SUM(final_electricity__1619242630314859[[#This Row],[ B1 (kWh)]]:final_electricity__1619242630314859[[#This Row],[B3 (kWh)]])</f>
        <v>884.36754000000019</v>
      </c>
      <c r="M21" s="29">
        <v>18</v>
      </c>
      <c r="N21" s="24">
        <f t="shared" si="2"/>
        <v>-0.6106600000000002</v>
      </c>
      <c r="O21" s="24">
        <f t="shared" si="2"/>
        <v>75.506594999999976</v>
      </c>
      <c r="P21" s="24">
        <f t="shared" si="2"/>
        <v>-450.95447500000012</v>
      </c>
      <c r="Q21" s="24">
        <f t="shared" si="2"/>
        <v>-376.05854000000022</v>
      </c>
      <c r="S21" s="29">
        <v>18</v>
      </c>
      <c r="T21" s="24">
        <f>final_electricity__1619242630314859[[#This Row],[ B1 (kWh)]]*'Conversion Technologies'!$I$8</f>
        <v>3.0198308823529418E-2</v>
      </c>
      <c r="U21" s="24">
        <f>final_electricity__1619242630314859[[#This Row],[B2 (kWh)]]*'Conversion Technologies'!$I$8</f>
        <v>4.9600722242647066</v>
      </c>
      <c r="V21" s="24">
        <f>final_electricity__1619242630314859[[#This Row],[B3 (kWh)]]*'Conversion Technologies'!$I$8</f>
        <v>24.27189071691177</v>
      </c>
      <c r="W21" s="24">
        <f>final_electricity__1619242630314859[[#This Row],[Community]]*'Conversion Technologies'!$I$8</f>
        <v>29.262161250000005</v>
      </c>
      <c r="Y21" s="29">
        <v>18</v>
      </c>
      <c r="Z21" s="24">
        <f>B21*tariffs[[#This Row],[Building 1 (buy)]]</f>
        <v>5.9071199999999997E-2</v>
      </c>
      <c r="AA21" s="24">
        <f>C21*tariffs[[#This Row],[Building 2 (buy)]]</f>
        <v>35.366985900000003</v>
      </c>
      <c r="AB21" s="24">
        <f>D21*tariffs[[#This Row],[Building 3 (buy)]]</f>
        <v>47.306570399999998</v>
      </c>
      <c r="AC21" s="24">
        <f>E21*tariffs[[#This Row],[Building 2 (buy)]]</f>
        <v>79.753682100000006</v>
      </c>
      <c r="AE21" s="29">
        <v>18</v>
      </c>
      <c r="AF21" s="24">
        <f>IF(N21&gt;0,N21*tariffs[[#This Row],[Building 1 (buy)]],0)</f>
        <v>0</v>
      </c>
      <c r="AG21" s="24">
        <f>IF(O21&gt;0,O21*tariffs[[#This Row],[Building 2 (buy)]],0)</f>
        <v>11.846984755499998</v>
      </c>
      <c r="AH21" s="24">
        <f>IF(P21&gt;0,P21*tariffs[[#This Row],[Building 3 (buy)]],0)</f>
        <v>0</v>
      </c>
      <c r="AI21" s="24">
        <f>IF(Q21&gt;0,Q21*tariffs[[#This Row],[Building 2 (buy)]],0)</f>
        <v>0</v>
      </c>
      <c r="AK21" s="29">
        <v>18</v>
      </c>
      <c r="AL21" s="35">
        <f>IF(N21&lt;0,-N21*tariffs[[#This Row],[Building 1 (sell)]],0)</f>
        <v>4.0303560000000016E-2</v>
      </c>
      <c r="AM21" s="35">
        <f>IF(O21&lt;0,-O21*tariffs[[#This Row],[Building 2 (sell)]],0)</f>
        <v>0</v>
      </c>
      <c r="AN21" s="35">
        <f>IF(P21&lt;0,-P21*tariffs[[#This Row],[Building 3 (sell)]],0)</f>
        <v>10.552334715000002</v>
      </c>
      <c r="AO21" s="35">
        <f>IF(Q21&lt;0,-Q21*tariffs[[#This Row],[Building 2 (sell)]],0)</f>
        <v>8.7997698360000047</v>
      </c>
    </row>
    <row r="22" spans="1:41" x14ac:dyDescent="0.35">
      <c r="A22" s="1">
        <v>19</v>
      </c>
      <c r="B22" s="24">
        <f>final_electricity__16192426[[#This Row],[ Building 1 (kWh)]]</f>
        <v>0.154</v>
      </c>
      <c r="C22" s="24">
        <f>final_electricity__16192426[[#This Row],[Building 2 (kWh)]]</f>
        <v>200.375</v>
      </c>
      <c r="D22" s="24">
        <f>final_electricity__16192426[[#This Row],[Building 3 (kWh)]]</f>
        <v>220.05699999999999</v>
      </c>
      <c r="E22" s="24">
        <f t="shared" si="0"/>
        <v>420.58600000000001</v>
      </c>
      <c r="G22" s="29">
        <v>19</v>
      </c>
      <c r="H22" s="32">
        <f>$D$34*(final_electricity__118[[#This Row],[Generation]]*10^-3)</f>
        <v>0</v>
      </c>
      <c r="I22" s="32">
        <f>$D$35*(final_electricity__118[[#This Row],[Generation]]*10^-3)</f>
        <v>0</v>
      </c>
      <c r="J22" s="32">
        <f>$D$36*(final_electricity__118[[#This Row],[Generation]]*10^-3)</f>
        <v>0</v>
      </c>
      <c r="K22" s="32">
        <f>SUM(final_electricity__1619242630314859[[#This Row],[ B1 (kWh)]]:final_electricity__1619242630314859[[#This Row],[B3 (kWh)]])</f>
        <v>0</v>
      </c>
      <c r="M22" s="29">
        <v>19</v>
      </c>
      <c r="N22" s="24">
        <f t="shared" si="2"/>
        <v>0.154</v>
      </c>
      <c r="O22" s="24">
        <f t="shared" si="2"/>
        <v>200.375</v>
      </c>
      <c r="P22" s="24">
        <f t="shared" si="2"/>
        <v>220.05699999999999</v>
      </c>
      <c r="Q22" s="24">
        <f t="shared" si="2"/>
        <v>420.58600000000001</v>
      </c>
      <c r="S22" s="29">
        <v>19</v>
      </c>
      <c r="T22" s="24">
        <f>final_electricity__1619242630314859[[#This Row],[ B1 (kWh)]]*'Conversion Technologies'!$I$8</f>
        <v>0</v>
      </c>
      <c r="U22" s="24">
        <f>final_electricity__1619242630314859[[#This Row],[B2 (kWh)]]*'Conversion Technologies'!$I$8</f>
        <v>0</v>
      </c>
      <c r="V22" s="24">
        <f>final_electricity__1619242630314859[[#This Row],[B3 (kWh)]]*'Conversion Technologies'!$I$8</f>
        <v>0</v>
      </c>
      <c r="W22" s="24">
        <f>final_electricity__1619242630314859[[#This Row],[Community]]*'Conversion Technologies'!$I$8</f>
        <v>0</v>
      </c>
      <c r="Y22" s="29">
        <v>19</v>
      </c>
      <c r="Z22" s="24">
        <f>B22*tariffs[[#This Row],[Building 1 (buy)]]</f>
        <v>3.0122400000000001E-2</v>
      </c>
      <c r="AA22" s="24">
        <f>C22*tariffs[[#This Row],[Building 2 (buy)]]</f>
        <v>35.185850000000002</v>
      </c>
      <c r="AB22" s="24">
        <f>D22*tariffs[[#This Row],[Building 3 (buy)]]</f>
        <v>38.620003499999996</v>
      </c>
      <c r="AC22" s="24">
        <f>E22*tariffs[[#This Row],[Building 2 (buy)]]</f>
        <v>73.854901600000005</v>
      </c>
      <c r="AE22" s="29">
        <v>19</v>
      </c>
      <c r="AF22" s="24">
        <f>IF(N22&gt;0,N22*tariffs[[#This Row],[Building 1 (buy)]],0)</f>
        <v>3.0122400000000001E-2</v>
      </c>
      <c r="AG22" s="24">
        <f>IF(O22&gt;0,O22*tariffs[[#This Row],[Building 2 (buy)]],0)</f>
        <v>35.185850000000002</v>
      </c>
      <c r="AH22" s="24">
        <f>IF(P22&gt;0,P22*tariffs[[#This Row],[Building 3 (buy)]],0)</f>
        <v>38.620003499999996</v>
      </c>
      <c r="AI22" s="24">
        <f>IF(Q22&gt;0,Q22*tariffs[[#This Row],[Building 2 (buy)]],0)</f>
        <v>73.854901600000005</v>
      </c>
      <c r="AK22" s="29">
        <v>19</v>
      </c>
      <c r="AL22" s="35">
        <f>IF(N22&lt;0,-N22*tariffs[[#This Row],[Building 1 (sell)]],0)</f>
        <v>0</v>
      </c>
      <c r="AM22" s="35">
        <f>IF(O22&lt;0,-O22*tariffs[[#This Row],[Building 2 (sell)]],0)</f>
        <v>0</v>
      </c>
      <c r="AN22" s="35">
        <f>IF(P22&lt;0,-P22*tariffs[[#This Row],[Building 3 (sell)]],0)</f>
        <v>0</v>
      </c>
      <c r="AO22" s="35">
        <f>IF(Q22&lt;0,-Q22*tariffs[[#This Row],[Building 2 (sell)]],0)</f>
        <v>0</v>
      </c>
    </row>
    <row r="23" spans="1:41" x14ac:dyDescent="0.35">
      <c r="A23" s="1">
        <v>20</v>
      </c>
      <c r="B23" s="24">
        <f>final_electricity__16192426[[#This Row],[ Building 1 (kWh)]]</f>
        <v>0.65300000000000002</v>
      </c>
      <c r="C23" s="24">
        <f>final_electricity__16192426[[#This Row],[Building 2 (kWh)]]</f>
        <v>163.98</v>
      </c>
      <c r="D23" s="24">
        <f>final_electricity__16192426[[#This Row],[Building 3 (kWh)]]</f>
        <v>178.715</v>
      </c>
      <c r="E23" s="24">
        <f t="shared" si="0"/>
        <v>343.34799999999996</v>
      </c>
      <c r="G23" s="29">
        <v>20</v>
      </c>
      <c r="H23" s="32">
        <f>$D$34*(final_electricity__118[[#This Row],[Generation]]*10^-3)</f>
        <v>0</v>
      </c>
      <c r="I23" s="32">
        <f>$D$35*(final_electricity__118[[#This Row],[Generation]]*10^-3)</f>
        <v>0</v>
      </c>
      <c r="J23" s="32">
        <f>$D$36*(final_electricity__118[[#This Row],[Generation]]*10^-3)</f>
        <v>0</v>
      </c>
      <c r="K23" s="32">
        <f>SUM(final_electricity__1619242630314859[[#This Row],[ B1 (kWh)]]:final_electricity__1619242630314859[[#This Row],[B3 (kWh)]])</f>
        <v>0</v>
      </c>
      <c r="M23" s="29">
        <v>20</v>
      </c>
      <c r="N23" s="24">
        <f t="shared" si="2"/>
        <v>0.65300000000000002</v>
      </c>
      <c r="O23" s="24">
        <f t="shared" si="2"/>
        <v>163.98</v>
      </c>
      <c r="P23" s="24">
        <f t="shared" si="2"/>
        <v>178.715</v>
      </c>
      <c r="Q23" s="24">
        <f t="shared" si="2"/>
        <v>343.34799999999996</v>
      </c>
      <c r="S23" s="29">
        <v>20</v>
      </c>
      <c r="T23" s="24">
        <f>final_electricity__1619242630314859[[#This Row],[ B1 (kWh)]]*'Conversion Technologies'!$I$8</f>
        <v>0</v>
      </c>
      <c r="U23" s="24">
        <f>final_electricity__1619242630314859[[#This Row],[B2 (kWh)]]*'Conversion Technologies'!$I$8</f>
        <v>0</v>
      </c>
      <c r="V23" s="24">
        <f>final_electricity__1619242630314859[[#This Row],[B3 (kWh)]]*'Conversion Technologies'!$I$8</f>
        <v>0</v>
      </c>
      <c r="W23" s="24">
        <f>final_electricity__1619242630314859[[#This Row],[Community]]*'Conversion Technologies'!$I$8</f>
        <v>0</v>
      </c>
      <c r="Y23" s="29">
        <v>20</v>
      </c>
      <c r="Z23" s="24">
        <f>B23*tariffs[[#This Row],[Building 1 (buy)]]</f>
        <v>0.1277268</v>
      </c>
      <c r="AA23" s="24">
        <f>C23*tariffs[[#This Row],[Building 2 (buy)]]</f>
        <v>28.794888</v>
      </c>
      <c r="AB23" s="24">
        <f>D23*tariffs[[#This Row],[Building 3 (buy)]]</f>
        <v>31.364482499999998</v>
      </c>
      <c r="AC23" s="24">
        <f>E23*tariffs[[#This Row],[Building 2 (buy)]]</f>
        <v>60.291908799999995</v>
      </c>
      <c r="AE23" s="29">
        <v>20</v>
      </c>
      <c r="AF23" s="24">
        <f>IF(N23&gt;0,N23*tariffs[[#This Row],[Building 1 (buy)]],0)</f>
        <v>0.1277268</v>
      </c>
      <c r="AG23" s="24">
        <f>IF(O23&gt;0,O23*tariffs[[#This Row],[Building 2 (buy)]],0)</f>
        <v>28.794888</v>
      </c>
      <c r="AH23" s="24">
        <f>IF(P23&gt;0,P23*tariffs[[#This Row],[Building 3 (buy)]],0)</f>
        <v>31.364482499999998</v>
      </c>
      <c r="AI23" s="24">
        <f>IF(Q23&gt;0,Q23*tariffs[[#This Row],[Building 2 (buy)]],0)</f>
        <v>60.291908799999995</v>
      </c>
      <c r="AK23" s="29">
        <v>20</v>
      </c>
      <c r="AL23" s="35">
        <f>IF(N23&lt;0,-N23*tariffs[[#This Row],[Building 1 (sell)]],0)</f>
        <v>0</v>
      </c>
      <c r="AM23" s="35">
        <f>IF(O23&lt;0,-O23*tariffs[[#This Row],[Building 2 (sell)]],0)</f>
        <v>0</v>
      </c>
      <c r="AN23" s="35">
        <f>IF(P23&lt;0,-P23*tariffs[[#This Row],[Building 3 (sell)]],0)</f>
        <v>0</v>
      </c>
      <c r="AO23" s="35">
        <f>IF(Q23&lt;0,-Q23*tariffs[[#This Row],[Building 2 (sell)]],0)</f>
        <v>0</v>
      </c>
    </row>
    <row r="24" spans="1:41" x14ac:dyDescent="0.35">
      <c r="A24" s="1">
        <v>21</v>
      </c>
      <c r="B24" s="24">
        <f>final_electricity__16192426[[#This Row],[ Building 1 (kWh)]]</f>
        <v>1.663</v>
      </c>
      <c r="C24" s="24">
        <f>final_electricity__16192426[[#This Row],[Building 2 (kWh)]]</f>
        <v>148.77500000000001</v>
      </c>
      <c r="D24" s="24">
        <f>final_electricity__16192426[[#This Row],[Building 3 (kWh)]]</f>
        <v>153.333</v>
      </c>
      <c r="E24" s="24">
        <f t="shared" si="0"/>
        <v>303.77100000000002</v>
      </c>
      <c r="G24" s="29">
        <v>21</v>
      </c>
      <c r="H24" s="32">
        <f>$D$34*(final_electricity__118[[#This Row],[Generation]]*10^-3)</f>
        <v>0</v>
      </c>
      <c r="I24" s="32">
        <f>$D$35*(final_electricity__118[[#This Row],[Generation]]*10^-3)</f>
        <v>0</v>
      </c>
      <c r="J24" s="32">
        <f>$D$36*(final_electricity__118[[#This Row],[Generation]]*10^-3)</f>
        <v>0</v>
      </c>
      <c r="K24" s="32">
        <f>SUM(final_electricity__1619242630314859[[#This Row],[ B1 (kWh)]]:final_electricity__1619242630314859[[#This Row],[B3 (kWh)]])</f>
        <v>0</v>
      </c>
      <c r="M24" s="29">
        <v>21</v>
      </c>
      <c r="N24" s="24">
        <f t="shared" si="2"/>
        <v>1.663</v>
      </c>
      <c r="O24" s="24">
        <f t="shared" si="2"/>
        <v>148.77500000000001</v>
      </c>
      <c r="P24" s="24">
        <f t="shared" si="2"/>
        <v>153.333</v>
      </c>
      <c r="Q24" s="24">
        <f t="shared" si="2"/>
        <v>303.77100000000002</v>
      </c>
      <c r="S24" s="29">
        <v>21</v>
      </c>
      <c r="T24" s="24">
        <f>final_electricity__1619242630314859[[#This Row],[ B1 (kWh)]]*'Conversion Technologies'!$I$8</f>
        <v>0</v>
      </c>
      <c r="U24" s="24">
        <f>final_electricity__1619242630314859[[#This Row],[B2 (kWh)]]*'Conversion Technologies'!$I$8</f>
        <v>0</v>
      </c>
      <c r="V24" s="24">
        <f>final_electricity__1619242630314859[[#This Row],[B3 (kWh)]]*'Conversion Technologies'!$I$8</f>
        <v>0</v>
      </c>
      <c r="W24" s="24">
        <f>final_electricity__1619242630314859[[#This Row],[Community]]*'Conversion Technologies'!$I$8</f>
        <v>0</v>
      </c>
      <c r="Y24" s="29">
        <v>21</v>
      </c>
      <c r="Z24" s="24">
        <f>B24*tariffs[[#This Row],[Building 1 (buy)]]</f>
        <v>0.32528279999999998</v>
      </c>
      <c r="AA24" s="24">
        <f>C24*tariffs[[#This Row],[Building 2 (buy)]]</f>
        <v>23.342797500000003</v>
      </c>
      <c r="AB24" s="24">
        <f>D24*tariffs[[#This Row],[Building 3 (buy)]]</f>
        <v>25.667944199999997</v>
      </c>
      <c r="AC24" s="24">
        <f>E24*tariffs[[#This Row],[Building 2 (buy)]]</f>
        <v>47.661669900000007</v>
      </c>
      <c r="AE24" s="29">
        <v>21</v>
      </c>
      <c r="AF24" s="24">
        <f>IF(N24&gt;0,N24*tariffs[[#This Row],[Building 1 (buy)]],0)</f>
        <v>0.32528279999999998</v>
      </c>
      <c r="AG24" s="24">
        <f>IF(O24&gt;0,O24*tariffs[[#This Row],[Building 2 (buy)]],0)</f>
        <v>23.342797500000003</v>
      </c>
      <c r="AH24" s="24">
        <f>IF(P24&gt;0,P24*tariffs[[#This Row],[Building 3 (buy)]],0)</f>
        <v>25.667944199999997</v>
      </c>
      <c r="AI24" s="24">
        <f>IF(Q24&gt;0,Q24*tariffs[[#This Row],[Building 2 (buy)]],0)</f>
        <v>47.661669900000007</v>
      </c>
      <c r="AK24" s="29">
        <v>21</v>
      </c>
      <c r="AL24" s="35">
        <f>IF(N24&lt;0,-N24*tariffs[[#This Row],[Building 1 (sell)]],0)</f>
        <v>0</v>
      </c>
      <c r="AM24" s="35">
        <f>IF(O24&lt;0,-O24*tariffs[[#This Row],[Building 2 (sell)]],0)</f>
        <v>0</v>
      </c>
      <c r="AN24" s="35">
        <f>IF(P24&lt;0,-P24*tariffs[[#This Row],[Building 3 (sell)]],0)</f>
        <v>0</v>
      </c>
      <c r="AO24" s="35">
        <f>IF(Q24&lt;0,-Q24*tariffs[[#This Row],[Building 2 (sell)]],0)</f>
        <v>0</v>
      </c>
    </row>
    <row r="25" spans="1:41" x14ac:dyDescent="0.35">
      <c r="A25" s="1">
        <v>22</v>
      </c>
      <c r="B25" s="24">
        <f>final_electricity__16192426[[#This Row],[ Building 1 (kWh)]]</f>
        <v>0.755</v>
      </c>
      <c r="C25" s="24">
        <f>final_electricity__16192426[[#This Row],[Building 2 (kWh)]]</f>
        <v>128.393</v>
      </c>
      <c r="D25" s="24">
        <f>final_electricity__16192426[[#This Row],[Building 3 (kWh)]]</f>
        <v>138.67599999999999</v>
      </c>
      <c r="E25" s="24">
        <f t="shared" si="0"/>
        <v>267.82399999999996</v>
      </c>
      <c r="G25" s="29">
        <v>22</v>
      </c>
      <c r="H25" s="32">
        <f>$D$34*(final_electricity__118[[#This Row],[Generation]]*10^-3)</f>
        <v>0</v>
      </c>
      <c r="I25" s="32">
        <f>$D$35*(final_electricity__118[[#This Row],[Generation]]*10^-3)</f>
        <v>0</v>
      </c>
      <c r="J25" s="32">
        <f>$D$36*(final_electricity__118[[#This Row],[Generation]]*10^-3)</f>
        <v>0</v>
      </c>
      <c r="K25" s="32">
        <f>SUM(final_electricity__1619242630314859[[#This Row],[ B1 (kWh)]]:final_electricity__1619242630314859[[#This Row],[B3 (kWh)]])</f>
        <v>0</v>
      </c>
      <c r="M25" s="29">
        <v>22</v>
      </c>
      <c r="N25" s="24">
        <f t="shared" si="2"/>
        <v>0.755</v>
      </c>
      <c r="O25" s="24">
        <f t="shared" si="2"/>
        <v>128.393</v>
      </c>
      <c r="P25" s="24">
        <f t="shared" si="2"/>
        <v>138.67599999999999</v>
      </c>
      <c r="Q25" s="24">
        <f t="shared" si="2"/>
        <v>267.82399999999996</v>
      </c>
      <c r="S25" s="29">
        <v>22</v>
      </c>
      <c r="T25" s="24">
        <f>final_electricity__1619242630314859[[#This Row],[ B1 (kWh)]]*'Conversion Technologies'!$I$8</f>
        <v>0</v>
      </c>
      <c r="U25" s="24">
        <f>final_electricity__1619242630314859[[#This Row],[B2 (kWh)]]*'Conversion Technologies'!$I$8</f>
        <v>0</v>
      </c>
      <c r="V25" s="24">
        <f>final_electricity__1619242630314859[[#This Row],[B3 (kWh)]]*'Conversion Technologies'!$I$8</f>
        <v>0</v>
      </c>
      <c r="W25" s="24">
        <f>final_electricity__1619242630314859[[#This Row],[Community]]*'Conversion Technologies'!$I$8</f>
        <v>0</v>
      </c>
      <c r="Y25" s="29">
        <v>22</v>
      </c>
      <c r="Z25" s="24">
        <f>B25*tariffs[[#This Row],[Building 1 (buy)]]</f>
        <v>0.147678</v>
      </c>
      <c r="AA25" s="24">
        <f>C25*tariffs[[#This Row],[Building 2 (buy)]]</f>
        <v>20.1448617</v>
      </c>
      <c r="AB25" s="24">
        <f>D25*tariffs[[#This Row],[Building 3 (buy)]]</f>
        <v>23.214362399999995</v>
      </c>
      <c r="AC25" s="24">
        <f>E25*tariffs[[#This Row],[Building 2 (buy)]]</f>
        <v>42.021585599999995</v>
      </c>
      <c r="AE25" s="29">
        <v>22</v>
      </c>
      <c r="AF25" s="24">
        <f>IF(N25&gt;0,N25*tariffs[[#This Row],[Building 1 (buy)]],0)</f>
        <v>0.147678</v>
      </c>
      <c r="AG25" s="24">
        <f>IF(O25&gt;0,O25*tariffs[[#This Row],[Building 2 (buy)]],0)</f>
        <v>20.1448617</v>
      </c>
      <c r="AH25" s="24">
        <f>IF(P25&gt;0,P25*tariffs[[#This Row],[Building 3 (buy)]],0)</f>
        <v>23.214362399999995</v>
      </c>
      <c r="AI25" s="24">
        <f>IF(Q25&gt;0,Q25*tariffs[[#This Row],[Building 2 (buy)]],0)</f>
        <v>42.021585599999995</v>
      </c>
      <c r="AK25" s="29">
        <v>22</v>
      </c>
      <c r="AL25" s="35">
        <f>IF(N25&lt;0,-N25*tariffs[[#This Row],[Building 1 (sell)]],0)</f>
        <v>0</v>
      </c>
      <c r="AM25" s="35">
        <f>IF(O25&lt;0,-O25*tariffs[[#This Row],[Building 2 (sell)]],0)</f>
        <v>0</v>
      </c>
      <c r="AN25" s="35">
        <f>IF(P25&lt;0,-P25*tariffs[[#This Row],[Building 3 (sell)]],0)</f>
        <v>0</v>
      </c>
      <c r="AO25" s="35">
        <f>IF(Q25&lt;0,-Q25*tariffs[[#This Row],[Building 2 (sell)]],0)</f>
        <v>0</v>
      </c>
    </row>
    <row r="26" spans="1:41" x14ac:dyDescent="0.35">
      <c r="A26" s="1">
        <v>23</v>
      </c>
      <c r="B26" s="24">
        <f>final_electricity__16192426[[#This Row],[ Building 1 (kWh)]]</f>
        <v>0.44400000000000001</v>
      </c>
      <c r="C26" s="24">
        <f>final_electricity__16192426[[#This Row],[Building 2 (kWh)]]</f>
        <v>121.883</v>
      </c>
      <c r="D26" s="24">
        <f>final_electricity__16192426[[#This Row],[Building 3 (kWh)]]</f>
        <v>135.27199999999999</v>
      </c>
      <c r="E26" s="24">
        <f t="shared" si="0"/>
        <v>257.59899999999999</v>
      </c>
      <c r="G26" s="29">
        <v>23</v>
      </c>
      <c r="H26" s="32">
        <f>$D$34*(final_electricity__118[[#This Row],[Generation]]*10^-3)</f>
        <v>0</v>
      </c>
      <c r="I26" s="32">
        <f>$D$35*(final_electricity__118[[#This Row],[Generation]]*10^-3)</f>
        <v>0</v>
      </c>
      <c r="J26" s="32">
        <f>$D$36*(final_electricity__118[[#This Row],[Generation]]*10^-3)</f>
        <v>0</v>
      </c>
      <c r="K26" s="32">
        <f>SUM(final_electricity__1619242630314859[[#This Row],[ B1 (kWh)]]:final_electricity__1619242630314859[[#This Row],[B3 (kWh)]])</f>
        <v>0</v>
      </c>
      <c r="M26" s="29">
        <v>23</v>
      </c>
      <c r="N26" s="24">
        <f t="shared" si="2"/>
        <v>0.44400000000000001</v>
      </c>
      <c r="O26" s="24">
        <f t="shared" si="2"/>
        <v>121.883</v>
      </c>
      <c r="P26" s="24">
        <f t="shared" si="2"/>
        <v>135.27199999999999</v>
      </c>
      <c r="Q26" s="24">
        <f t="shared" si="2"/>
        <v>257.59899999999999</v>
      </c>
      <c r="S26" s="29">
        <v>23</v>
      </c>
      <c r="T26" s="24">
        <f>final_electricity__1619242630314859[[#This Row],[ B1 (kWh)]]*'Conversion Technologies'!$I$8</f>
        <v>0</v>
      </c>
      <c r="U26" s="24">
        <f>final_electricity__1619242630314859[[#This Row],[B2 (kWh)]]*'Conversion Technologies'!$I$8</f>
        <v>0</v>
      </c>
      <c r="V26" s="24">
        <f>final_electricity__1619242630314859[[#This Row],[B3 (kWh)]]*'Conversion Technologies'!$I$8</f>
        <v>0</v>
      </c>
      <c r="W26" s="24">
        <f>final_electricity__1619242630314859[[#This Row],[Community]]*'Conversion Technologies'!$I$8</f>
        <v>0</v>
      </c>
      <c r="Y26" s="29">
        <v>23</v>
      </c>
      <c r="Z26" s="24">
        <f>B26*tariffs[[#This Row],[Building 1 (buy)]]</f>
        <v>8.6846400000000004E-2</v>
      </c>
      <c r="AA26" s="24">
        <f>C26*tariffs[[#This Row],[Building 2 (buy)]]</f>
        <v>19.123442700000002</v>
      </c>
      <c r="AB26" s="24">
        <f>D26*tariffs[[#This Row],[Building 3 (buy)]]</f>
        <v>22.644532799999997</v>
      </c>
      <c r="AC26" s="24">
        <f>E26*tariffs[[#This Row],[Building 2 (buy)]]</f>
        <v>40.417283099999999</v>
      </c>
      <c r="AE26" s="29">
        <v>23</v>
      </c>
      <c r="AF26" s="24">
        <f>IF(N26&gt;0,N26*tariffs[[#This Row],[Building 1 (buy)]],0)</f>
        <v>8.6846400000000004E-2</v>
      </c>
      <c r="AG26" s="24">
        <f>IF(O26&gt;0,O26*tariffs[[#This Row],[Building 2 (buy)]],0)</f>
        <v>19.123442700000002</v>
      </c>
      <c r="AH26" s="24">
        <f>IF(P26&gt;0,P26*tariffs[[#This Row],[Building 3 (buy)]],0)</f>
        <v>22.644532799999997</v>
      </c>
      <c r="AI26" s="24">
        <f>IF(Q26&gt;0,Q26*tariffs[[#This Row],[Building 2 (buy)]],0)</f>
        <v>40.417283099999999</v>
      </c>
      <c r="AK26" s="29">
        <v>23</v>
      </c>
      <c r="AL26" s="35">
        <f>IF(N26&lt;0,-N26*tariffs[[#This Row],[Building 1 (sell)]],0)</f>
        <v>0</v>
      </c>
      <c r="AM26" s="35">
        <f>IF(O26&lt;0,-O26*tariffs[[#This Row],[Building 2 (sell)]],0)</f>
        <v>0</v>
      </c>
      <c r="AN26" s="35">
        <f>IF(P26&lt;0,-P26*tariffs[[#This Row],[Building 3 (sell)]],0)</f>
        <v>0</v>
      </c>
      <c r="AO26" s="35">
        <f>IF(Q26&lt;0,-Q26*tariffs[[#This Row],[Building 2 (sell)]],0)</f>
        <v>0</v>
      </c>
    </row>
    <row r="27" spans="1:41" x14ac:dyDescent="0.35">
      <c r="A27" s="26" t="s">
        <v>165</v>
      </c>
      <c r="B27" s="24">
        <f>SUM(B3:B26)</f>
        <v>25.747321621047867</v>
      </c>
      <c r="C27" s="24">
        <f>SUM(C3:C26)</f>
        <v>4859.128999999999</v>
      </c>
      <c r="D27" s="24">
        <f t="shared" ref="D27" si="3">SUM(D3:D26)</f>
        <v>5688.4694</v>
      </c>
      <c r="E27" s="24">
        <f t="shared" si="0"/>
        <v>10573.345721621048</v>
      </c>
      <c r="G27" s="30" t="s">
        <v>165</v>
      </c>
      <c r="H27" s="35">
        <f>SUM(H3:H26)</f>
        <v>9.7140599999999981</v>
      </c>
      <c r="I27" s="35">
        <f t="shared" ref="I27:K27" si="4">SUM(I3:I26)</f>
        <v>1595.5343550000002</v>
      </c>
      <c r="J27" s="35">
        <f t="shared" si="4"/>
        <v>7807.6757250000001</v>
      </c>
      <c r="K27" s="35">
        <f t="shared" si="4"/>
        <v>9412.9241399999992</v>
      </c>
      <c r="M27" s="30" t="s">
        <v>165</v>
      </c>
      <c r="N27" s="24">
        <f>SUM(N3:N26)</f>
        <v>16.03326162104787</v>
      </c>
      <c r="O27" s="24">
        <f t="shared" ref="O27:Q27" si="5">SUM(O3:O26)</f>
        <v>3263.5946450000001</v>
      </c>
      <c r="P27" s="24">
        <f t="shared" si="5"/>
        <v>-2119.2063250000006</v>
      </c>
      <c r="Q27" s="24">
        <f t="shared" si="5"/>
        <v>1160.4215816210469</v>
      </c>
      <c r="S27" s="30" t="s">
        <v>165</v>
      </c>
      <c r="T27" s="24">
        <f>SUM(T3:T26)</f>
        <v>0.32142110294117648</v>
      </c>
      <c r="U27" s="24">
        <f t="shared" ref="U27:V27" si="6">SUM(U3:U26)</f>
        <v>52.793416158088242</v>
      </c>
      <c r="V27" s="24">
        <f t="shared" si="6"/>
        <v>258.34221148897063</v>
      </c>
      <c r="W27" s="24">
        <f>SUM(W3:W26)</f>
        <v>311.45704875000001</v>
      </c>
      <c r="Y27" s="30" t="s">
        <v>165</v>
      </c>
      <c r="Z27" s="24">
        <f>SUM(Z3:Z26)</f>
        <v>3.4386981546607576</v>
      </c>
      <c r="AA27" s="24">
        <f t="shared" ref="AA27:AB27" si="7">SUM(AA3:AA26)</f>
        <v>736.45668079999996</v>
      </c>
      <c r="AB27" s="24">
        <f t="shared" si="7"/>
        <v>920.44633620000002</v>
      </c>
      <c r="AC27" s="24">
        <f>SUM(AC3:AC26)</f>
        <v>1613.0250786310526</v>
      </c>
      <c r="AE27" s="30" t="s">
        <v>165</v>
      </c>
      <c r="AF27" s="24">
        <f>SUM(AF3:AF26)</f>
        <v>3.0514101546607582</v>
      </c>
      <c r="AG27" s="24">
        <f t="shared" ref="AG27:AH27" si="8">SUM(AG3:AG26)</f>
        <v>480.84779513150005</v>
      </c>
      <c r="AH27" s="24">
        <f t="shared" si="8"/>
        <v>328.63596464999995</v>
      </c>
      <c r="AI27" s="24">
        <f>SUM(AI3:AI26)</f>
        <v>618.81935004305228</v>
      </c>
      <c r="AK27" s="30" t="s">
        <v>165</v>
      </c>
      <c r="AL27" s="35">
        <f>SUM(AL3:AL26)</f>
        <v>0.51044796000000003</v>
      </c>
      <c r="AM27" s="35">
        <f t="shared" ref="AM27:AN27" si="9">SUM(AM3:AM26)</f>
        <v>0</v>
      </c>
      <c r="AN27" s="35">
        <f t="shared" si="9"/>
        <v>97.374750515000017</v>
      </c>
      <c r="AO27" s="35">
        <f>SUM(AO3:AO26)</f>
        <v>73.794334716000023</v>
      </c>
    </row>
    <row r="30" spans="1:41" ht="21" x14ac:dyDescent="0.5">
      <c r="B30" s="134" t="s">
        <v>269</v>
      </c>
      <c r="C30" s="134"/>
      <c r="D30" s="134"/>
      <c r="E30" s="134"/>
      <c r="M30" s="12" t="s">
        <v>233</v>
      </c>
      <c r="N30" s="12" t="s">
        <v>228</v>
      </c>
      <c r="O30" s="12" t="s">
        <v>229</v>
      </c>
      <c r="P30" s="12" t="s">
        <v>230</v>
      </c>
      <c r="Q30" s="12" t="s">
        <v>8</v>
      </c>
    </row>
    <row r="31" spans="1:41" ht="15.5" x14ac:dyDescent="0.35">
      <c r="J31" s="56" t="s">
        <v>247</v>
      </c>
      <c r="M31" s="12" t="s">
        <v>231</v>
      </c>
      <c r="N31" s="10">
        <f>D34*'Conversion Technologies'!$I$5</f>
        <v>5400</v>
      </c>
      <c r="O31" s="10">
        <f>D35*'Conversion Technologies'!$I$5</f>
        <v>886950</v>
      </c>
      <c r="P31" s="10">
        <f>D36*'Conversion Technologies'!$I$5</f>
        <v>4340250</v>
      </c>
      <c r="Q31" s="10">
        <f>SUM(N31:P31)</f>
        <v>5232600</v>
      </c>
    </row>
    <row r="32" spans="1:41" ht="15.5" x14ac:dyDescent="0.35">
      <c r="J32" s="3" t="s">
        <v>245</v>
      </c>
      <c r="M32" s="12" t="s">
        <v>232</v>
      </c>
      <c r="N32" s="40">
        <f>(Z27-AF27+AL27)*365</f>
        <v>327.67362539999982</v>
      </c>
      <c r="O32" s="40">
        <f>(AA27-AG27+AM27)*365</f>
        <v>93297.243269002473</v>
      </c>
      <c r="P32" s="40">
        <f>(AB27-AH27+AN27)*365</f>
        <v>251552.56955372504</v>
      </c>
      <c r="Q32" s="40">
        <f>(AC27-AI27+AO27)*365</f>
        <v>389820.02310596016</v>
      </c>
    </row>
    <row r="33" spans="2:17" ht="15.5" x14ac:dyDescent="0.35">
      <c r="B33" s="1"/>
      <c r="C33" s="1" t="s">
        <v>22</v>
      </c>
      <c r="D33" s="1" t="s">
        <v>235</v>
      </c>
      <c r="F33" s="1" t="s">
        <v>236</v>
      </c>
      <c r="G33" s="1"/>
      <c r="H33" s="1" t="s">
        <v>243</v>
      </c>
      <c r="J33" s="58" t="s">
        <v>246</v>
      </c>
      <c r="M33" s="12" t="s">
        <v>224</v>
      </c>
      <c r="N33" s="48">
        <f>Outputs!T5</f>
        <v>0.01</v>
      </c>
      <c r="O33" s="55"/>
      <c r="P33" s="55"/>
      <c r="Q33" s="55"/>
    </row>
    <row r="34" spans="2:17" ht="15.5" x14ac:dyDescent="0.35">
      <c r="B34" s="1" t="s">
        <v>228</v>
      </c>
      <c r="C34" s="1">
        <f>D34*'Conversion Technologies'!$I$2*10^-3</f>
        <v>6</v>
      </c>
      <c r="D34" s="57">
        <v>12</v>
      </c>
      <c r="F34" s="6">
        <f>$D$34*'Conversion Technologies'!$I$3</f>
        <v>30</v>
      </c>
      <c r="G34" s="6" t="s">
        <v>244</v>
      </c>
      <c r="H34" s="6">
        <f>(Inputs!H47/100)*Services!D43</f>
        <v>32</v>
      </c>
      <c r="M34" s="12" t="s">
        <v>248</v>
      </c>
      <c r="N34" s="47">
        <f>Outputs!R5</f>
        <v>20</v>
      </c>
      <c r="O34" s="55"/>
      <c r="P34" s="55"/>
      <c r="Q34" s="55"/>
    </row>
    <row r="35" spans="2:17" ht="15.5" x14ac:dyDescent="0.35">
      <c r="B35" s="1" t="s">
        <v>229</v>
      </c>
      <c r="C35" s="1">
        <f>D35*'Conversion Technologies'!$I$2*10^-3</f>
        <v>985.5</v>
      </c>
      <c r="D35" s="57">
        <v>1971</v>
      </c>
      <c r="F35" s="6">
        <f>$D$35*'Conversion Technologies'!$I$3</f>
        <v>4927.5</v>
      </c>
      <c r="G35" s="1"/>
      <c r="H35" s="1"/>
      <c r="M35" s="12" t="s">
        <v>205</v>
      </c>
      <c r="N35" s="41">
        <f>N32*((1-(1+$N$33)^-$N$34)/$N$33)-N31</f>
        <v>513.05176280556225</v>
      </c>
      <c r="O35" s="41">
        <f>O32*((1-(1+$N$33)^-$N$34)/$N$33)-O31</f>
        <v>796650.3450178043</v>
      </c>
      <c r="P35" s="41">
        <f>P32*((1-(1+$N$33)^-$N$34)/$N$33)-P31</f>
        <v>199155.2176831793</v>
      </c>
      <c r="Q35" s="41">
        <f>Q32*((1-(1+$N$33)^-$N$34)/$N$33)-Q31</f>
        <v>1801917.8742713789</v>
      </c>
    </row>
    <row r="36" spans="2:17" x14ac:dyDescent="0.35">
      <c r="B36" s="1" t="s">
        <v>230</v>
      </c>
      <c r="C36" s="1">
        <f>D36*'Conversion Technologies'!$I$2*10^-3</f>
        <v>4822.5</v>
      </c>
      <c r="D36" s="57">
        <v>9645</v>
      </c>
      <c r="F36" s="78">
        <f>$D$36*'Conversion Technologies'!$I$3</f>
        <v>24112.5</v>
      </c>
      <c r="G36" s="1"/>
      <c r="H36" s="1"/>
    </row>
    <row r="38" spans="2:17" ht="23.5" x14ac:dyDescent="0.55000000000000004">
      <c r="M38" s="135" t="s">
        <v>270</v>
      </c>
      <c r="N38" s="135"/>
      <c r="O38" s="135"/>
      <c r="P38" s="135"/>
      <c r="Q38" s="135"/>
    </row>
    <row r="39" spans="2:17" ht="15.5" x14ac:dyDescent="0.35">
      <c r="M39" s="12" t="s">
        <v>233</v>
      </c>
      <c r="N39" s="12" t="s">
        <v>228</v>
      </c>
      <c r="O39" s="12" t="s">
        <v>229</v>
      </c>
      <c r="P39" s="12" t="s">
        <v>230</v>
      </c>
      <c r="Q39" s="12" t="s">
        <v>8</v>
      </c>
    </row>
    <row r="40" spans="2:17" ht="15.5" x14ac:dyDescent="0.35">
      <c r="M40" s="12" t="s">
        <v>9</v>
      </c>
      <c r="N40" s="42">
        <f>AF27</f>
        <v>3.0514101546607582</v>
      </c>
      <c r="O40" s="42">
        <f t="shared" ref="O40:P40" si="10">AG27</f>
        <v>480.84779513150005</v>
      </c>
      <c r="P40" s="42">
        <f t="shared" si="10"/>
        <v>328.63596464999995</v>
      </c>
      <c r="Q40" s="42">
        <f>AI27</f>
        <v>618.81935004305228</v>
      </c>
    </row>
    <row r="41" spans="2:17" ht="15.5" x14ac:dyDescent="0.35">
      <c r="M41" s="12" t="s">
        <v>271</v>
      </c>
      <c r="N41" s="42">
        <f>T27</f>
        <v>0.32142110294117648</v>
      </c>
      <c r="O41" s="42">
        <f t="shared" ref="O41:Q41" si="11">U27</f>
        <v>52.793416158088242</v>
      </c>
      <c r="P41" s="42">
        <f t="shared" si="11"/>
        <v>258.34221148897063</v>
      </c>
      <c r="Q41" s="42">
        <f t="shared" si="11"/>
        <v>311.45704875000001</v>
      </c>
    </row>
    <row r="42" spans="2:17" ht="15.5" x14ac:dyDescent="0.35">
      <c r="M42" s="12" t="s">
        <v>152</v>
      </c>
      <c r="N42" s="42">
        <f>AL27</f>
        <v>0.51044796000000003</v>
      </c>
      <c r="O42" s="42">
        <f t="shared" ref="O42:Q42" si="12">AM27</f>
        <v>0</v>
      </c>
      <c r="P42" s="42">
        <f t="shared" si="12"/>
        <v>97.374750515000017</v>
      </c>
      <c r="Q42" s="42">
        <f t="shared" si="12"/>
        <v>73.794334716000023</v>
      </c>
    </row>
    <row r="43" spans="2:17" ht="15.5" x14ac:dyDescent="0.35">
      <c r="M43" s="12" t="s">
        <v>165</v>
      </c>
      <c r="N43" s="41">
        <f>N40+N41-N42</f>
        <v>2.8623832976019346</v>
      </c>
      <c r="O43" s="41">
        <f t="shared" ref="O43:P43" si="13">O40+O41-O42</f>
        <v>533.64121128958834</v>
      </c>
      <c r="P43" s="41">
        <f t="shared" si="13"/>
        <v>489.60342562397062</v>
      </c>
      <c r="Q43" s="59">
        <f>Q40+Q41-Q42</f>
        <v>856.48206407705231</v>
      </c>
    </row>
  </sheetData>
  <mergeCells count="9">
    <mergeCell ref="AE1:AI1"/>
    <mergeCell ref="AK1:AO1"/>
    <mergeCell ref="M38:Q38"/>
    <mergeCell ref="A1:E1"/>
    <mergeCell ref="B30:E30"/>
    <mergeCell ref="G1:K1"/>
    <mergeCell ref="M1:Q1"/>
    <mergeCell ref="S1:W1"/>
    <mergeCell ref="Y1:AC1"/>
  </mergeCells>
  <pageMargins left="0.7" right="0.7" top="0.75" bottom="0.75" header="0.3" footer="0.3"/>
  <ignoredErrors>
    <ignoredError sqref="K3:K27 Q3:Q27 W27 AC3:AC27 AI27 AO3:AO27" calculatedColumn="1"/>
  </ignoredErrors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00389-99F2-4E32-ACF0-3F43CCAA5957}">
  <sheetPr codeName="Sheet15"/>
  <dimension ref="A1:R33"/>
  <sheetViews>
    <sheetView zoomScale="60" zoomScaleNormal="60" workbookViewId="0"/>
  </sheetViews>
  <sheetFormatPr defaultRowHeight="14.5" x14ac:dyDescent="0.35"/>
  <cols>
    <col min="2" max="2" width="17" customWidth="1"/>
    <col min="3" max="3" width="16.453125" customWidth="1"/>
    <col min="4" max="4" width="14" customWidth="1"/>
    <col min="5" max="5" width="23" customWidth="1"/>
    <col min="6" max="6" width="29.7265625" customWidth="1"/>
    <col min="7" max="7" width="16.36328125" customWidth="1"/>
    <col min="8" max="8" width="15.81640625" customWidth="1"/>
    <col min="9" max="9" width="14.54296875" customWidth="1"/>
    <col min="10" max="10" width="29" customWidth="1"/>
    <col min="11" max="11" width="11.1796875" customWidth="1"/>
    <col min="12" max="12" width="13.1796875" customWidth="1"/>
    <col min="13" max="13" width="22.54296875" customWidth="1"/>
  </cols>
  <sheetData>
    <row r="1" spans="1:18" ht="18.5" x14ac:dyDescent="0.45">
      <c r="N1" s="5"/>
      <c r="O1" s="5"/>
      <c r="P1" s="5"/>
      <c r="Q1" s="5"/>
      <c r="R1" s="5"/>
    </row>
    <row r="2" spans="1:18" ht="23.5" x14ac:dyDescent="0.55000000000000004">
      <c r="A2" s="136" t="s">
        <v>257</v>
      </c>
      <c r="B2" s="136"/>
      <c r="C2" s="136"/>
      <c r="D2" s="136"/>
      <c r="E2" s="136"/>
      <c r="F2" s="136"/>
      <c r="G2" s="136"/>
      <c r="H2" s="136"/>
      <c r="I2" s="136"/>
      <c r="J2" s="67"/>
      <c r="P2" s="5"/>
      <c r="Q2" s="5"/>
    </row>
    <row r="3" spans="1:18" x14ac:dyDescent="0.35">
      <c r="A3" s="55"/>
      <c r="B3" s="55"/>
      <c r="C3" s="55"/>
      <c r="D3" s="55"/>
      <c r="E3" s="55"/>
      <c r="F3" s="55"/>
      <c r="G3" s="55"/>
      <c r="H3" s="55"/>
      <c r="I3" s="55"/>
      <c r="P3" s="1"/>
      <c r="Q3" s="1"/>
    </row>
    <row r="4" spans="1:18" x14ac:dyDescent="0.35">
      <c r="A4" s="70" t="s">
        <v>3</v>
      </c>
      <c r="B4" s="70" t="s">
        <v>258</v>
      </c>
      <c r="C4" s="70" t="s">
        <v>259</v>
      </c>
      <c r="D4" s="70" t="s">
        <v>260</v>
      </c>
      <c r="E4" s="70" t="s">
        <v>261</v>
      </c>
      <c r="F4" s="70" t="s">
        <v>262</v>
      </c>
      <c r="G4" s="70" t="s">
        <v>263</v>
      </c>
      <c r="H4" s="70" t="s">
        <v>264</v>
      </c>
      <c r="I4" s="70" t="s">
        <v>265</v>
      </c>
      <c r="K4" s="77" t="s">
        <v>268</v>
      </c>
      <c r="P4" s="1"/>
      <c r="Q4" s="1"/>
    </row>
    <row r="5" spans="1:18" x14ac:dyDescent="0.35">
      <c r="A5" s="71">
        <v>0</v>
      </c>
      <c r="B5" s="72">
        <f>'Services Management'!B3</f>
        <v>0.16300000000000001</v>
      </c>
      <c r="C5" s="72">
        <f>'Services Management'!H3</f>
        <v>6.363281650000005E-2</v>
      </c>
      <c r="D5" s="72">
        <f>'Services Management'!I3</f>
        <v>0</v>
      </c>
      <c r="E5" s="76">
        <v>0.77566049215264055</v>
      </c>
      <c r="F5" s="76">
        <v>2.6346880432832869</v>
      </c>
      <c r="G5" s="72">
        <f>SUM(C5:F5)</f>
        <v>3.4739813519359277</v>
      </c>
      <c r="H5" s="72">
        <f>G5+B5</f>
        <v>3.6369813519359275</v>
      </c>
      <c r="I5" s="60">
        <f>H5*K5</f>
        <v>0.39643096736101607</v>
      </c>
      <c r="K5" s="50">
        <f>Tariffs!B3</f>
        <v>0.109</v>
      </c>
      <c r="P5" s="1"/>
      <c r="Q5" s="1"/>
    </row>
    <row r="6" spans="1:18" x14ac:dyDescent="0.35">
      <c r="A6" s="71">
        <v>1</v>
      </c>
      <c r="B6" s="72">
        <f>'Services Management'!B4</f>
        <v>0.14899999999999999</v>
      </c>
      <c r="C6" s="72">
        <f>'Services Management'!H4</f>
        <v>7.5958144600000041E-2</v>
      </c>
      <c r="D6" s="72">
        <f>'Services Management'!I4</f>
        <v>0</v>
      </c>
      <c r="E6" s="76">
        <v>3.533843159117727E-2</v>
      </c>
      <c r="F6" s="76">
        <v>3.3403991560077828</v>
      </c>
      <c r="G6" s="72">
        <f t="shared" ref="G6:G28" si="0">SUM(C6:F6)</f>
        <v>3.4516957321989601</v>
      </c>
      <c r="H6" s="72">
        <f t="shared" ref="H6:H28" si="1">G6+B6</f>
        <v>3.6006957321989601</v>
      </c>
      <c r="I6" s="60">
        <f t="shared" ref="I6:I28" si="2">H6*K6</f>
        <v>0.39247583480968667</v>
      </c>
      <c r="K6" s="50">
        <f>Tariffs!B4</f>
        <v>0.109</v>
      </c>
      <c r="P6" s="1"/>
      <c r="Q6" s="1"/>
    </row>
    <row r="7" spans="1:18" x14ac:dyDescent="0.35">
      <c r="A7" s="71">
        <v>2</v>
      </c>
      <c r="B7" s="72">
        <f>'Services Management'!B5</f>
        <v>0.121</v>
      </c>
      <c r="C7" s="72">
        <f>'Services Management'!H5</f>
        <v>9.190856919999997E-2</v>
      </c>
      <c r="D7" s="72">
        <f>'Services Management'!I5</f>
        <v>0</v>
      </c>
      <c r="E7" s="76">
        <v>9.5940370107886232E-3</v>
      </c>
      <c r="F7" s="76">
        <v>2.6636987468070004</v>
      </c>
      <c r="G7" s="72">
        <f t="shared" si="0"/>
        <v>2.765201353017789</v>
      </c>
      <c r="H7" s="72">
        <f t="shared" si="1"/>
        <v>2.886201353017789</v>
      </c>
      <c r="I7" s="60">
        <f t="shared" si="2"/>
        <v>0.31459594747893899</v>
      </c>
      <c r="K7" s="50">
        <f>Tariffs!B5</f>
        <v>0.109</v>
      </c>
      <c r="P7" s="1"/>
      <c r="Q7" s="1"/>
    </row>
    <row r="8" spans="1:18" x14ac:dyDescent="0.35">
      <c r="A8" s="71">
        <v>3</v>
      </c>
      <c r="B8" s="72">
        <f>'Services Management'!B6</f>
        <v>0.112</v>
      </c>
      <c r="C8" s="72">
        <f>'Services Management'!H6</f>
        <v>0.1078589938</v>
      </c>
      <c r="D8" s="72">
        <f>'Services Management'!I6</f>
        <v>0</v>
      </c>
      <c r="E8" s="76">
        <v>2.0448854331276196E-2</v>
      </c>
      <c r="F8" s="76">
        <v>0.21002305313136571</v>
      </c>
      <c r="G8" s="72">
        <f t="shared" si="0"/>
        <v>0.33833090126264187</v>
      </c>
      <c r="H8" s="72">
        <f t="shared" si="1"/>
        <v>0.45033090126264186</v>
      </c>
      <c r="I8" s="60">
        <f t="shared" si="2"/>
        <v>4.9086068237627963E-2</v>
      </c>
      <c r="K8" s="50">
        <f>Tariffs!B6</f>
        <v>0.109</v>
      </c>
      <c r="P8" s="1"/>
      <c r="Q8" s="1"/>
    </row>
    <row r="9" spans="1:18" x14ac:dyDescent="0.35">
      <c r="A9" s="71">
        <v>4</v>
      </c>
      <c r="B9" s="72">
        <f>'Services Management'!B7</f>
        <v>0.11700000000000001</v>
      </c>
      <c r="C9" s="72">
        <f>'Services Management'!H7</f>
        <v>0.12380941840000005</v>
      </c>
      <c r="D9" s="72">
        <f>'Services Management'!I7</f>
        <v>0</v>
      </c>
      <c r="E9" s="76">
        <v>3.2587998423804228E-2</v>
      </c>
      <c r="F9" s="76">
        <v>0.30102374063422876</v>
      </c>
      <c r="G9" s="72">
        <f t="shared" si="0"/>
        <v>0.45742115745803302</v>
      </c>
      <c r="H9" s="72">
        <f t="shared" si="1"/>
        <v>0.57442115745803302</v>
      </c>
      <c r="I9" s="60">
        <f t="shared" si="2"/>
        <v>6.2611906162925599E-2</v>
      </c>
      <c r="K9" s="50">
        <f>Tariffs!B7</f>
        <v>0.109</v>
      </c>
      <c r="P9" s="1"/>
      <c r="Q9" s="1"/>
    </row>
    <row r="10" spans="1:18" x14ac:dyDescent="0.35">
      <c r="A10" s="71">
        <v>5</v>
      </c>
      <c r="B10" s="72">
        <f>'Services Management'!B8</f>
        <v>0.13</v>
      </c>
      <c r="C10" s="72">
        <f>'Services Management'!H8</f>
        <v>0.13540972719999994</v>
      </c>
      <c r="D10" s="72">
        <f>'Services Management'!I8</f>
        <v>0</v>
      </c>
      <c r="E10" s="76">
        <v>3.2587998423804228E-2</v>
      </c>
      <c r="F10" s="76">
        <v>2.8605667444716681E-2</v>
      </c>
      <c r="G10" s="72">
        <f t="shared" si="0"/>
        <v>0.19660339306852084</v>
      </c>
      <c r="H10" s="72">
        <f t="shared" si="1"/>
        <v>0.32660339306852082</v>
      </c>
      <c r="I10" s="60">
        <f t="shared" si="2"/>
        <v>3.5599769844468769E-2</v>
      </c>
      <c r="K10" s="50">
        <f>Tariffs!B8</f>
        <v>0.109</v>
      </c>
      <c r="P10" s="1"/>
      <c r="Q10" s="1"/>
    </row>
    <row r="11" spans="1:18" x14ac:dyDescent="0.35">
      <c r="A11" s="71">
        <v>6</v>
      </c>
      <c r="B11" s="72">
        <f>'Services Management'!B9</f>
        <v>0.11700000000000001</v>
      </c>
      <c r="C11" s="72">
        <f>'Services Management'!H9</f>
        <v>0.14701003599999996</v>
      </c>
      <c r="D11" s="72">
        <f>'Services Management'!I9</f>
        <v>0</v>
      </c>
      <c r="E11" s="76">
        <v>2.0448854331276196E-2</v>
      </c>
      <c r="F11" s="76">
        <v>2.8605667092522602E-2</v>
      </c>
      <c r="G11" s="72">
        <f t="shared" si="0"/>
        <v>0.19606455742379875</v>
      </c>
      <c r="H11" s="72">
        <f t="shared" si="1"/>
        <v>0.31306455742379874</v>
      </c>
      <c r="I11" s="60">
        <f t="shared" si="2"/>
        <v>3.4124036759194065E-2</v>
      </c>
      <c r="K11" s="50">
        <f>Tariffs!B9</f>
        <v>0.109</v>
      </c>
      <c r="P11" s="1"/>
      <c r="Q11" s="1"/>
    </row>
    <row r="12" spans="1:18" x14ac:dyDescent="0.35">
      <c r="A12" s="71">
        <v>7</v>
      </c>
      <c r="B12" s="72">
        <f>'Services Management'!B10</f>
        <v>0.377</v>
      </c>
      <c r="C12" s="72">
        <f>'Services Management'!H10</f>
        <v>0.15933536409999993</v>
      </c>
      <c r="D12" s="72">
        <f>'Services Management'!I10</f>
        <v>0</v>
      </c>
      <c r="E12" s="76">
        <v>0</v>
      </c>
      <c r="F12" s="76">
        <v>0</v>
      </c>
      <c r="G12" s="72">
        <f t="shared" si="0"/>
        <v>0.15933536409999993</v>
      </c>
      <c r="H12" s="72">
        <f t="shared" si="1"/>
        <v>0.53633536409999993</v>
      </c>
      <c r="I12" s="60">
        <f t="shared" si="2"/>
        <v>0.10490719721795999</v>
      </c>
      <c r="K12" s="50">
        <f>Tariffs!B10</f>
        <v>0.1956</v>
      </c>
      <c r="P12" s="1"/>
      <c r="Q12" s="1"/>
    </row>
    <row r="13" spans="1:18" x14ac:dyDescent="0.35">
      <c r="A13" s="71">
        <v>8</v>
      </c>
      <c r="B13" s="72">
        <f>'Services Management'!B11</f>
        <v>0.90200000000000002</v>
      </c>
      <c r="C13" s="72">
        <f>'Services Management'!H11</f>
        <v>0.21335860780000004</v>
      </c>
      <c r="D13" s="72">
        <f>'Services Management'!I11</f>
        <v>0</v>
      </c>
      <c r="E13" s="76">
        <v>0</v>
      </c>
      <c r="F13" s="76">
        <v>0</v>
      </c>
      <c r="G13" s="72">
        <f t="shared" si="0"/>
        <v>0.21335860780000004</v>
      </c>
      <c r="H13" s="72">
        <f t="shared" si="1"/>
        <v>1.1153586078000002</v>
      </c>
      <c r="I13" s="60">
        <f t="shared" si="2"/>
        <v>0.21816414368568002</v>
      </c>
      <c r="K13" s="50">
        <f>Tariffs!B11</f>
        <v>0.1956</v>
      </c>
      <c r="P13" s="1"/>
      <c r="Q13" s="1"/>
    </row>
    <row r="14" spans="1:18" x14ac:dyDescent="0.35">
      <c r="A14" s="71">
        <v>9</v>
      </c>
      <c r="B14" s="72">
        <f>'Services Management'!B12</f>
        <v>0.17599999999999999</v>
      </c>
      <c r="C14" s="72">
        <f>'Services Management'!H12</f>
        <v>0</v>
      </c>
      <c r="D14" s="72">
        <f>'Services Management'!I12</f>
        <v>0</v>
      </c>
      <c r="E14" s="76">
        <v>0</v>
      </c>
      <c r="F14" s="76">
        <v>0</v>
      </c>
      <c r="G14" s="72">
        <f t="shared" si="0"/>
        <v>0</v>
      </c>
      <c r="H14" s="72">
        <f t="shared" si="1"/>
        <v>0.17599999999999999</v>
      </c>
      <c r="I14" s="60">
        <f t="shared" si="2"/>
        <v>3.4425600000000001E-2</v>
      </c>
      <c r="K14" s="50">
        <f>Tariffs!B12</f>
        <v>0.1956</v>
      </c>
      <c r="P14" s="1"/>
      <c r="Q14" s="1"/>
    </row>
    <row r="15" spans="1:18" x14ac:dyDescent="0.35">
      <c r="A15" s="71">
        <v>10</v>
      </c>
      <c r="B15" s="72">
        <f>'Services Management'!B13</f>
        <v>0.318</v>
      </c>
      <c r="C15" s="72">
        <f>'Services Management'!H13</f>
        <v>0</v>
      </c>
      <c r="D15" s="72">
        <f>'Services Management'!I13</f>
        <v>0</v>
      </c>
      <c r="E15" s="76">
        <v>0</v>
      </c>
      <c r="F15" s="76">
        <v>0</v>
      </c>
      <c r="G15" s="72">
        <f t="shared" si="0"/>
        <v>0</v>
      </c>
      <c r="H15" s="72">
        <f t="shared" si="1"/>
        <v>0.318</v>
      </c>
      <c r="I15" s="60">
        <f t="shared" si="2"/>
        <v>6.2200800000000001E-2</v>
      </c>
      <c r="K15" s="50">
        <f>Tariffs!B13</f>
        <v>0.1956</v>
      </c>
      <c r="P15" s="1"/>
      <c r="Q15" s="1"/>
    </row>
    <row r="16" spans="1:18" x14ac:dyDescent="0.35">
      <c r="A16" s="71">
        <v>11</v>
      </c>
      <c r="B16" s="72">
        <f>'Services Management'!B14</f>
        <v>0.122</v>
      </c>
      <c r="C16" s="72">
        <f>'Services Management'!H14</f>
        <v>0</v>
      </c>
      <c r="D16" s="72">
        <f>'Services Management'!I14</f>
        <v>0</v>
      </c>
      <c r="E16" s="76">
        <v>0</v>
      </c>
      <c r="F16" s="76">
        <v>0</v>
      </c>
      <c r="G16" s="72">
        <f t="shared" si="0"/>
        <v>0</v>
      </c>
      <c r="H16" s="72">
        <f t="shared" si="1"/>
        <v>0.122</v>
      </c>
      <c r="I16" s="60">
        <f t="shared" si="2"/>
        <v>2.3863199999999998E-2</v>
      </c>
      <c r="K16" s="50">
        <f>Tariffs!B14</f>
        <v>0.1956</v>
      </c>
      <c r="P16" s="1"/>
      <c r="Q16" s="1"/>
    </row>
    <row r="17" spans="1:17" x14ac:dyDescent="0.35">
      <c r="A17" s="71">
        <v>12</v>
      </c>
      <c r="B17" s="72">
        <f>'Services Management'!B15</f>
        <v>0.10100000000000001</v>
      </c>
      <c r="C17" s="72">
        <f>'Services Management'!H15</f>
        <v>0</v>
      </c>
      <c r="D17" s="72">
        <f>'Services Management'!I15</f>
        <v>0</v>
      </c>
      <c r="E17" s="76">
        <v>0</v>
      </c>
      <c r="F17" s="76">
        <v>0</v>
      </c>
      <c r="G17" s="72">
        <f t="shared" si="0"/>
        <v>0</v>
      </c>
      <c r="H17" s="72">
        <f t="shared" si="1"/>
        <v>0.10100000000000001</v>
      </c>
      <c r="I17" s="60">
        <f t="shared" si="2"/>
        <v>1.9755600000000002E-2</v>
      </c>
      <c r="K17" s="50">
        <f>Tariffs!B15</f>
        <v>0.1956</v>
      </c>
      <c r="P17" s="1"/>
      <c r="Q17" s="1"/>
    </row>
    <row r="18" spans="1:17" x14ac:dyDescent="0.35">
      <c r="A18" s="71">
        <v>13</v>
      </c>
      <c r="B18" s="72">
        <f>'Services Management'!B16</f>
        <v>0.106</v>
      </c>
      <c r="C18" s="72">
        <f>'Services Management'!H16</f>
        <v>0</v>
      </c>
      <c r="D18" s="72">
        <f>'Services Management'!I16</f>
        <v>0</v>
      </c>
      <c r="E18" s="76">
        <v>0</v>
      </c>
      <c r="F18" s="76">
        <v>0</v>
      </c>
      <c r="G18" s="72">
        <f t="shared" si="0"/>
        <v>0</v>
      </c>
      <c r="H18" s="72">
        <f t="shared" si="1"/>
        <v>0.106</v>
      </c>
      <c r="I18" s="60">
        <f t="shared" si="2"/>
        <v>2.0733599999999998E-2</v>
      </c>
      <c r="K18" s="50">
        <f>Tariffs!B16</f>
        <v>0.1956</v>
      </c>
      <c r="P18" s="1"/>
      <c r="Q18" s="1"/>
    </row>
    <row r="19" spans="1:17" x14ac:dyDescent="0.35">
      <c r="A19" s="71">
        <v>14</v>
      </c>
      <c r="B19" s="72">
        <f>'Services Management'!B17</f>
        <v>0.17499999999999999</v>
      </c>
      <c r="C19" s="72">
        <f>'Services Management'!H17</f>
        <v>0</v>
      </c>
      <c r="D19" s="72">
        <f>'Services Management'!I17</f>
        <v>0</v>
      </c>
      <c r="E19" s="76">
        <v>0</v>
      </c>
      <c r="F19" s="76">
        <v>0</v>
      </c>
      <c r="G19" s="72">
        <f t="shared" si="0"/>
        <v>0</v>
      </c>
      <c r="H19" s="72">
        <f t="shared" si="1"/>
        <v>0.17499999999999999</v>
      </c>
      <c r="I19" s="60">
        <f t="shared" si="2"/>
        <v>3.4229999999999997E-2</v>
      </c>
      <c r="K19" s="50">
        <f>Tariffs!B17</f>
        <v>0.1956</v>
      </c>
      <c r="P19" s="1"/>
      <c r="Q19" s="1"/>
    </row>
    <row r="20" spans="1:17" x14ac:dyDescent="0.35">
      <c r="A20" s="71">
        <v>15</v>
      </c>
      <c r="B20" s="72">
        <f>'Services Management'!B18</f>
        <v>0.23200000000000001</v>
      </c>
      <c r="C20" s="72">
        <f>'Services Management'!H18</f>
        <v>0</v>
      </c>
      <c r="D20" s="72">
        <f>'Services Management'!I18</f>
        <v>0</v>
      </c>
      <c r="E20" s="76">
        <v>0</v>
      </c>
      <c r="F20" s="76">
        <v>0</v>
      </c>
      <c r="G20" s="72">
        <f t="shared" si="0"/>
        <v>0</v>
      </c>
      <c r="H20" s="72">
        <f t="shared" si="1"/>
        <v>0.23200000000000001</v>
      </c>
      <c r="I20" s="60">
        <f t="shared" si="2"/>
        <v>4.5379200000000001E-2</v>
      </c>
      <c r="K20" s="50">
        <f>Tariffs!B18</f>
        <v>0.1956</v>
      </c>
      <c r="P20" s="1"/>
      <c r="Q20" s="1"/>
    </row>
    <row r="21" spans="1:17" x14ac:dyDescent="0.35">
      <c r="A21" s="71">
        <v>16</v>
      </c>
      <c r="B21" s="72">
        <f>'Services Management'!B19</f>
        <v>0.161</v>
      </c>
      <c r="C21" s="72">
        <f>'Services Management'!H19</f>
        <v>0</v>
      </c>
      <c r="D21" s="72">
        <f>'Services Management'!I19</f>
        <v>0</v>
      </c>
      <c r="E21" s="76">
        <v>0</v>
      </c>
      <c r="F21" s="76">
        <v>0</v>
      </c>
      <c r="G21" s="72">
        <f t="shared" si="0"/>
        <v>0</v>
      </c>
      <c r="H21" s="72">
        <f t="shared" si="1"/>
        <v>0.161</v>
      </c>
      <c r="I21" s="60">
        <f t="shared" si="2"/>
        <v>3.1491600000000002E-2</v>
      </c>
      <c r="K21" s="50">
        <f>Tariffs!B19</f>
        <v>0.1956</v>
      </c>
      <c r="P21" s="1"/>
      <c r="Q21" s="1"/>
    </row>
    <row r="22" spans="1:17" x14ac:dyDescent="0.35">
      <c r="A22" s="71">
        <v>17</v>
      </c>
      <c r="B22" s="72">
        <f>'Services Management'!B20</f>
        <v>0.28699999999999998</v>
      </c>
      <c r="C22" s="72">
        <f>'Services Management'!H20</f>
        <v>0</v>
      </c>
      <c r="D22" s="72">
        <f>'Services Management'!I20</f>
        <v>0</v>
      </c>
      <c r="E22" s="76">
        <v>0</v>
      </c>
      <c r="F22" s="76">
        <v>0</v>
      </c>
      <c r="G22" s="72">
        <f t="shared" si="0"/>
        <v>0</v>
      </c>
      <c r="H22" s="72">
        <f t="shared" si="1"/>
        <v>0.28699999999999998</v>
      </c>
      <c r="I22" s="60">
        <f t="shared" si="2"/>
        <v>5.6137199999999991E-2</v>
      </c>
      <c r="K22" s="50">
        <f>Tariffs!B20</f>
        <v>0.1956</v>
      </c>
      <c r="P22" s="1"/>
      <c r="Q22" s="1"/>
    </row>
    <row r="23" spans="1:17" x14ac:dyDescent="0.35">
      <c r="A23" s="71">
        <v>18</v>
      </c>
      <c r="B23" s="72">
        <f>'Services Management'!B21</f>
        <v>0.30199999999999999</v>
      </c>
      <c r="C23" s="72">
        <f>'Services Management'!H21</f>
        <v>0</v>
      </c>
      <c r="D23" s="72">
        <f>'Services Management'!I21</f>
        <v>0</v>
      </c>
      <c r="E23" s="76">
        <v>0</v>
      </c>
      <c r="F23" s="76">
        <v>0</v>
      </c>
      <c r="G23" s="72">
        <f t="shared" si="0"/>
        <v>0</v>
      </c>
      <c r="H23" s="72">
        <f t="shared" si="1"/>
        <v>0.30199999999999999</v>
      </c>
      <c r="I23" s="60">
        <f t="shared" si="2"/>
        <v>5.9071199999999997E-2</v>
      </c>
      <c r="K23" s="50">
        <f>Tariffs!B21</f>
        <v>0.1956</v>
      </c>
      <c r="P23" s="1"/>
      <c r="Q23" s="1"/>
    </row>
    <row r="24" spans="1:17" x14ac:dyDescent="0.35">
      <c r="A24" s="71">
        <v>19</v>
      </c>
      <c r="B24" s="72">
        <f>'Services Management'!B22</f>
        <v>0.154</v>
      </c>
      <c r="C24" s="72">
        <f>'Services Management'!H22</f>
        <v>0</v>
      </c>
      <c r="D24" s="72">
        <f>'Services Management'!I22</f>
        <v>0</v>
      </c>
      <c r="E24" s="76">
        <v>0</v>
      </c>
      <c r="F24" s="76">
        <v>0</v>
      </c>
      <c r="G24" s="72">
        <f t="shared" si="0"/>
        <v>0</v>
      </c>
      <c r="H24" s="72">
        <f t="shared" si="1"/>
        <v>0.154</v>
      </c>
      <c r="I24" s="60">
        <f t="shared" si="2"/>
        <v>3.0122400000000001E-2</v>
      </c>
      <c r="K24" s="50">
        <f>Tariffs!B22</f>
        <v>0.1956</v>
      </c>
      <c r="P24" s="1"/>
      <c r="Q24" s="1"/>
    </row>
    <row r="25" spans="1:17" x14ac:dyDescent="0.35">
      <c r="A25" s="71">
        <v>20</v>
      </c>
      <c r="B25" s="72">
        <f>'Services Management'!B23</f>
        <v>0.65300000000000002</v>
      </c>
      <c r="C25" s="72">
        <f>'Services Management'!H23</f>
        <v>0</v>
      </c>
      <c r="D25" s="72">
        <f>'Services Management'!I23</f>
        <v>0</v>
      </c>
      <c r="E25" s="76">
        <v>0</v>
      </c>
      <c r="F25" s="76">
        <v>0</v>
      </c>
      <c r="G25" s="72">
        <f t="shared" si="0"/>
        <v>0</v>
      </c>
      <c r="H25" s="72">
        <f t="shared" si="1"/>
        <v>0.65300000000000002</v>
      </c>
      <c r="I25" s="60">
        <f t="shared" si="2"/>
        <v>0.1277268</v>
      </c>
      <c r="K25" s="50">
        <f>Tariffs!B23</f>
        <v>0.1956</v>
      </c>
      <c r="P25" s="1"/>
      <c r="Q25" s="1"/>
    </row>
    <row r="26" spans="1:17" x14ac:dyDescent="0.35">
      <c r="A26" s="71">
        <v>21</v>
      </c>
      <c r="B26" s="72">
        <f>'Services Management'!B24</f>
        <v>1.663</v>
      </c>
      <c r="C26" s="72">
        <f>'Services Management'!H24</f>
        <v>0</v>
      </c>
      <c r="D26" s="72">
        <f>'Services Management'!I24</f>
        <v>0</v>
      </c>
      <c r="E26" s="76">
        <v>0</v>
      </c>
      <c r="F26" s="76">
        <v>0</v>
      </c>
      <c r="G26" s="72">
        <f t="shared" si="0"/>
        <v>0</v>
      </c>
      <c r="H26" s="72">
        <f t="shared" si="1"/>
        <v>1.663</v>
      </c>
      <c r="I26" s="60">
        <f t="shared" si="2"/>
        <v>0.32528279999999998</v>
      </c>
      <c r="K26" s="50">
        <f>Tariffs!B24</f>
        <v>0.1956</v>
      </c>
      <c r="P26" s="1"/>
      <c r="Q26" s="1"/>
    </row>
    <row r="27" spans="1:17" x14ac:dyDescent="0.35">
      <c r="A27" s="71">
        <v>22</v>
      </c>
      <c r="B27" s="72">
        <f>'Services Management'!B25</f>
        <v>0.755</v>
      </c>
      <c r="C27" s="72">
        <f>'Services Management'!H25</f>
        <v>0</v>
      </c>
      <c r="D27" s="72">
        <f>'Services Management'!I25</f>
        <v>0</v>
      </c>
      <c r="E27" s="76">
        <v>0</v>
      </c>
      <c r="F27" s="76">
        <v>0</v>
      </c>
      <c r="G27" s="72">
        <f t="shared" si="0"/>
        <v>0</v>
      </c>
      <c r="H27" s="72">
        <f t="shared" si="1"/>
        <v>0.755</v>
      </c>
      <c r="I27" s="60">
        <f t="shared" si="2"/>
        <v>0.147678</v>
      </c>
      <c r="K27" s="50">
        <f>Tariffs!B25</f>
        <v>0.1956</v>
      </c>
      <c r="P27" s="1"/>
      <c r="Q27" s="1"/>
    </row>
    <row r="28" spans="1:17" x14ac:dyDescent="0.35">
      <c r="A28" s="71">
        <v>23</v>
      </c>
      <c r="B28" s="72">
        <f>'Services Management'!B26</f>
        <v>0.44400000000000001</v>
      </c>
      <c r="C28" s="72">
        <f>'Services Management'!H26</f>
        <v>0</v>
      </c>
      <c r="D28" s="72">
        <f>'Services Management'!I26</f>
        <v>0</v>
      </c>
      <c r="E28" s="76">
        <v>0</v>
      </c>
      <c r="F28" s="76">
        <v>0</v>
      </c>
      <c r="G28" s="72">
        <f t="shared" si="0"/>
        <v>0</v>
      </c>
      <c r="H28" s="72">
        <f t="shared" si="1"/>
        <v>0.44400000000000001</v>
      </c>
      <c r="I28" s="60">
        <f t="shared" si="2"/>
        <v>8.6846400000000004E-2</v>
      </c>
      <c r="K28" s="50">
        <f>Tariffs!B26</f>
        <v>0.1956</v>
      </c>
    </row>
    <row r="29" spans="1:17" x14ac:dyDescent="0.35">
      <c r="A29" s="73" t="s">
        <v>165</v>
      </c>
      <c r="B29" s="74">
        <f t="shared" ref="B29:I29" si="3">SUM(B5:B28)</f>
        <v>7.8369999999999997</v>
      </c>
      <c r="C29" s="74">
        <f t="shared" si="3"/>
        <v>1.1182816776</v>
      </c>
      <c r="D29" s="74">
        <f t="shared" si="3"/>
        <v>0</v>
      </c>
      <c r="E29" s="75">
        <f t="shared" si="3"/>
        <v>0.92666666626476724</v>
      </c>
      <c r="F29" s="75">
        <f t="shared" si="3"/>
        <v>9.207044074400903</v>
      </c>
      <c r="G29" s="74">
        <f t="shared" si="3"/>
        <v>11.251992418265672</v>
      </c>
      <c r="H29" s="74">
        <f t="shared" si="3"/>
        <v>19.088992418265669</v>
      </c>
      <c r="I29" s="74">
        <f t="shared" si="3"/>
        <v>2.7129402715574988</v>
      </c>
    </row>
    <row r="31" spans="1:17" x14ac:dyDescent="0.35">
      <c r="J31" s="68" t="s">
        <v>266</v>
      </c>
      <c r="K31" s="69">
        <f>Services!L34</f>
        <v>2.0684523809523809</v>
      </c>
    </row>
    <row r="32" spans="1:17" x14ac:dyDescent="0.35">
      <c r="J32" s="68" t="s">
        <v>267</v>
      </c>
      <c r="K32" s="69">
        <f>Services!L33</f>
        <v>14.723587562495485</v>
      </c>
    </row>
    <row r="33" spans="10:11" x14ac:dyDescent="0.35">
      <c r="J33" s="68" t="s">
        <v>272</v>
      </c>
      <c r="K33" s="82">
        <v>3.6</v>
      </c>
    </row>
  </sheetData>
  <mergeCells count="1">
    <mergeCell ref="A2:I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A763BF-2EFF-4879-8805-A94F6568D8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Menu</vt:lpstr>
      <vt:lpstr>Inputs</vt:lpstr>
      <vt:lpstr>Outputs</vt:lpstr>
      <vt:lpstr>Graphs</vt:lpstr>
      <vt:lpstr>Services</vt:lpstr>
      <vt:lpstr>Tariffs</vt:lpstr>
      <vt:lpstr>Final Energy</vt:lpstr>
      <vt:lpstr>Conversion Technologies</vt:lpstr>
      <vt:lpstr>Primary Energy</vt:lpstr>
      <vt:lpstr>Base Management</vt:lpstr>
      <vt:lpstr>Services Management</vt:lpstr>
      <vt:lpstr>Services+PV Management</vt:lpstr>
      <vt:lpstr>Services+PV+Battery Management</vt:lpstr>
      <vt:lpstr>Optimization-Max NPV Community</vt:lpstr>
      <vt:lpstr>Optimization-Min Cost Community</vt:lpstr>
      <vt:lpstr>Optimization-Flexible 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manuel</dc:creator>
  <cp:lastModifiedBy>Pedro Miguel Almeida Manuel</cp:lastModifiedBy>
  <dcterms:created xsi:type="dcterms:W3CDTF">2023-09-17T08:15:08Z</dcterms:created>
  <dcterms:modified xsi:type="dcterms:W3CDTF">2024-10-09T21:51:57Z</dcterms:modified>
</cp:coreProperties>
</file>